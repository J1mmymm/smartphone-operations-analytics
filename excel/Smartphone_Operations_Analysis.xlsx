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8d0b6cff4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看板" sheetId="1" r:id="R068c89535aeb4714"/>
    <x:sheet xmlns:r="http://schemas.openxmlformats.org/officeDocument/2006/relationships" name="产品渠道" sheetId="2" r:id="Rca02e143850745b2"/>
    <x:sheet xmlns:r="http://schemas.openxmlformats.org/officeDocument/2006/relationships" name="库存预警" sheetId="3" r:id="R8dc5bc7b524845cf"/>
    <x:sheet xmlns:r="http://schemas.openxmlformats.org/officeDocument/2006/relationships" name="现金流" sheetId="4" r:id="R02d6f48e409c4a19"/>
    <x:sheet xmlns:r="http://schemas.openxmlformats.org/officeDocument/2006/relationships" name="情景测算" sheetId="5" r:id="R52436a90ab094a67"/>
    <x:sheet xmlns:r="http://schemas.openxmlformats.org/officeDocument/2006/relationships" name="清洗映射" sheetId="6" r:id="R6f816019d3614216"/>
    <x:sheet xmlns:r="http://schemas.openxmlformats.org/officeDocument/2006/relationships" name="数据字典" sheetId="7" r:id="Rb5ef3ab817494cbd"/>
    <x:sheet xmlns:r="http://schemas.openxmlformats.org/officeDocument/2006/relationships" name="月度KPI" sheetId="8" r:id="Ra59494f3ab784064"/>
    <x:sheet xmlns:r="http://schemas.openxmlformats.org/officeDocument/2006/relationships" name="季度KPI" sheetId="9" r:id="Rc4745169f0e148dc"/>
    <x:sheet xmlns:r="http://schemas.openxmlformats.org/officeDocument/2006/relationships" name="订单明细" sheetId="10" r:id="R59c9dd72d9674dfc"/>
    <x:sheet xmlns:r="http://schemas.openxmlformats.org/officeDocument/2006/relationships" name="库存明细" sheetId="11" r:id="Rceda83f69ed84f19"/>
    <x:sheet xmlns:r="http://schemas.openxmlformats.org/officeDocument/2006/relationships" name="生产明细" sheetId="12" r:id="R0d529b5693fc4ffd"/>
    <x:sheet xmlns:r="http://schemas.openxmlformats.org/officeDocument/2006/relationships" name="现金明细" sheetId="13" r:id="R09ab4dca99cd4f85"/>
    <x:sheet xmlns:r="http://schemas.openxmlformats.org/officeDocument/2006/relationships" name="日期维表" sheetId="14" r:id="R19cfc5e488cf4420"/>
    <x:sheet xmlns:r="http://schemas.openxmlformats.org/officeDocument/2006/relationships" name="产品维表" sheetId="15" r:id="R9e72532a0d4e4ee0"/>
    <x:sheet xmlns:r="http://schemas.openxmlformats.org/officeDocument/2006/relationships" name="渠道维表" sheetId="16" r:id="R56620a4c8fe844c0"/>
    <x:sheet xmlns:r="http://schemas.openxmlformats.org/officeDocument/2006/relationships" name="区域维表" sheetId="17" r:id="R7f934ea5bc9246e0"/>
    <x:sheet xmlns:r="http://schemas.openxmlformats.org/officeDocument/2006/relationships" name="质量检查源" sheetId="18" r:id="R73c2d2d10c254501"/>
    <x:sheet xmlns:r="http://schemas.openxmlformats.org/officeDocument/2006/relationships" name="质量检查" sheetId="19" r:id="R0cd34ec31549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"/>
    <x:numFmt numFmtId="203" formatCode="0.00"/>
    <x:numFmt numFmtId="204" formatCode="#,##0.00"/>
  </x:numFmts>
  <x:fonts count="10">
    <x:font>
      <x:sz val="11"/>
      <x:name val="Carlito"/>
    </x:font>
    <x:font>
      <x:b/>
      <x:sz val="10"/>
      <x:color rgb="FFFFFFFF"/>
      <x:name val="Carlito"/>
    </x:font>
    <x:font>
      <x:b/>
      <x:sz val="10"/>
      <x:color rgb="FF252525"/>
      <x:name val="Carlito"/>
    </x:font>
    <x:font>
      <x:sz val="10"/>
      <x:color rgb="FF252525"/>
      <x:name val="Carlito"/>
    </x:font>
    <x:font>
      <x:b/>
      <x:sz val="18"/>
      <x:color rgb="FFFFFFFF"/>
      <x:name val="Carlito"/>
    </x:font>
    <x:font>
      <x:sz val="10"/>
      <x:color rgb="FF6B7280"/>
      <x:name val="Carlito"/>
    </x:font>
    <x:font>
      <x:b/>
      <x:sz val="10"/>
      <x:color rgb="FF6B7280"/>
      <x:name val="Carlito"/>
    </x:font>
    <x:font>
      <x:b/>
      <x:sz val="19"/>
      <x:color rgb="FF252525"/>
      <x:name val="Carlito"/>
    </x:font>
    <x:font>
      <x:b/>
      <x:sz val="11"/>
      <x:color rgb="FF252525"/>
      <x:name val="Carlito"/>
    </x:font>
    <x:font>
      <x:b/>
      <x:sz val="11"/>
      <x:color rgb="FF2563E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5F6F8"/>
      </x:patternFill>
    </x:fill>
    <x:fill>
      <x:patternFill patternType="solid">
        <x:fgColor rgb="FFFFF1E8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</x:fills>
  <x:borders count="10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</x:border>
    <x:border>
      <x:right style="thin">
        <x:color rgb="FFD9DEE7"/>
      </x:right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200" fontId="7" fillId="5" borderId="4" xfId="0" applyNumberFormat="1" applyFont="1" applyFill="1" applyBorder="1" applyAlignment="1">
      <x:alignment horizontal="center" vertical="center"/>
    </x:xf>
    <x:xf numFmtId="201" fontId="7" fillId="5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2" fontId="3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200" fontId="9" fillId="6" borderId="1" xfId="0" applyNumberFormat="1" applyFont="1" applyFill="1" applyBorder="1"/>
    <x:xf numFmtId="201" fontId="9" fillId="6" borderId="1" xfId="0" applyNumberFormat="1" applyFont="1" applyFill="1" applyBorder="1"/>
    <x:xf numFmtId="203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2F6B4F"/>
      </x:font>
      <x:fill>
        <x:patternFill patternType="solid">
          <x:bgColor rgb="FFE8F3ED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d223bc77843a0" /><Relationship Type="http://schemas.openxmlformats.org/officeDocument/2006/relationships/theme" Target="/xl/theme/theme1.xml" Id="R0c913b1324f04293" /><Relationship Type="http://schemas.openxmlformats.org/officeDocument/2006/relationships/sharedStrings" Target="/xl/sharedStrings.xml" Id="Rd2031d9c10f643ae" /><Relationship Type="http://schemas.openxmlformats.org/officeDocument/2006/relationships/worksheet" Target="/xl/worksheets/sheet1.xml" Id="R068c89535aeb4714" /><Relationship Type="http://schemas.openxmlformats.org/officeDocument/2006/relationships/worksheet" Target="/xl/worksheets/sheet2.xml" Id="Rca02e143850745b2" /><Relationship Type="http://schemas.openxmlformats.org/officeDocument/2006/relationships/worksheet" Target="/xl/worksheets/sheet3.xml" Id="R8dc5bc7b524845cf" /><Relationship Type="http://schemas.openxmlformats.org/officeDocument/2006/relationships/worksheet" Target="/xl/worksheets/sheet4.xml" Id="R02d6f48e409c4a19" /><Relationship Type="http://schemas.openxmlformats.org/officeDocument/2006/relationships/worksheet" Target="/xl/worksheets/sheet5.xml" Id="R52436a90ab094a67" /><Relationship Type="http://schemas.openxmlformats.org/officeDocument/2006/relationships/worksheet" Target="/xl/worksheets/sheet6.xml" Id="R6f816019d3614216" /><Relationship Type="http://schemas.openxmlformats.org/officeDocument/2006/relationships/worksheet" Target="/xl/worksheets/sheet7.xml" Id="Rb5ef3ab817494cbd" /><Relationship Type="http://schemas.openxmlformats.org/officeDocument/2006/relationships/worksheet" Target="/xl/worksheets/sheet8.xml" Id="Ra59494f3ab784064" /><Relationship Type="http://schemas.openxmlformats.org/officeDocument/2006/relationships/worksheet" Target="/xl/worksheets/sheet9.xml" Id="Rc4745169f0e148dc" /><Relationship Type="http://schemas.openxmlformats.org/officeDocument/2006/relationships/worksheet" Target="/xl/worksheets/sheet10.xml" Id="R59c9dd72d9674dfc" /><Relationship Type="http://schemas.openxmlformats.org/officeDocument/2006/relationships/worksheet" Target="/xl/worksheets/sheet11.xml" Id="Rceda83f69ed84f19" /><Relationship Type="http://schemas.openxmlformats.org/officeDocument/2006/relationships/worksheet" Target="/xl/worksheets/sheet12.xml" Id="R0d529b5693fc4ffd" /><Relationship Type="http://schemas.openxmlformats.org/officeDocument/2006/relationships/worksheet" Target="/xl/worksheets/sheet13.xml" Id="R09ab4dca99cd4f85" /><Relationship Type="http://schemas.openxmlformats.org/officeDocument/2006/relationships/worksheet" Target="/xl/worksheets/sheet14.xml" Id="R19cfc5e488cf4420" /><Relationship Type="http://schemas.openxmlformats.org/officeDocument/2006/relationships/worksheet" Target="/xl/worksheets/sheet15.xml" Id="R9e72532a0d4e4ee0" /><Relationship Type="http://schemas.openxmlformats.org/officeDocument/2006/relationships/worksheet" Target="/xl/worksheets/sheet16.xml" Id="R56620a4c8fe844c0" /><Relationship Type="http://schemas.openxmlformats.org/officeDocument/2006/relationships/worksheet" Target="/xl/worksheets/sheet17.xml" Id="R7f934ea5bc9246e0" /><Relationship Type="http://schemas.openxmlformats.org/officeDocument/2006/relationships/worksheet" Target="/xl/worksheets/sheet18.xml" Id="R73c2d2d10c254501" /><Relationship Type="http://schemas.openxmlformats.org/officeDocument/2006/relationships/worksheet" Target="/xl/worksheets/sheet19.xml" Id="R0cd34ec3154940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fd4c18c1c442c3" /><Relationship Type="http://schemas.openxmlformats.org/officeDocument/2006/relationships/chart" Target="/xl/drawings/charts/chart2.xml" Id="Rfb73043b539543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48a360ba40489f" /><Relationship Type="http://schemas.openxmlformats.org/officeDocument/2006/relationships/chart" Target="/xl/drawings/charts/chart4.xml" Id="Rc60d927058a048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aa71018db3e423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9f74ec118324c36" /><Relationship Type="http://schemas.openxmlformats.org/officeDocument/2006/relationships/chart" Target="/xl/drawings/charts/chart7.xml" Id="R80ef0f59f02e44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月度销售与毛利趋势（元）</a:t>
            </a:r>
          </a:p>
        </c:rich>
      </c:tx>
    </c:title>
    <c:plotArea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'经营看板'!$A$13:$A$54</c:f>
              <c:strCache>
                <c:ptCount val="0"/>
              </c:strCache>
            </c:strRef>
          </c:cat>
          <c:val>
            <c:numRef>
              <c:f>'经营看板'!$B$13:$B$54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'经营看板'!$A$13:$A$54</c:f>
              <c:strCache>
                <c:ptCount val="0"/>
              </c:strCache>
            </c:strRef>
          </c:cat>
          <c:val>
            <c:numRef>
              <c:f>'经营看板'!$C$13:$C$54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月末现金余额（元）</a:t>
            </a:r>
          </a:p>
        </c:rich>
      </c:tx>
    </c:title>
    <c:plotArea>
      <c:lineChart>
        <c:grouping val="standard"/>
        <c:ser>
          <c:idx val="0"/>
          <c:order val="0"/>
          <c:tx>
            <c:v>Closing Cash</c:v>
          </c:tx>
          <c:marker>
            <c:symbol val="none"/>
          </c:marker>
          <c:cat>
            <c:strRef>
              <c:f>'经营看板'!$O$13:$O$54</c:f>
              <c:strCache>
                <c:ptCount val="0"/>
              </c:strCache>
            </c:strRef>
          </c:cat>
          <c:val>
            <c:numRef>
              <c:f>'经营看板'!$P$13:$P$54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SKU销售贡献（元）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销售额</c:v>
          </c:tx>
          <c:cat>
            <c:strRef>
              <c:f>'产品渠道'!$M$5:$M$8</c:f>
              <c:strCache>
                <c:ptCount val="0"/>
              </c:strCache>
            </c:strRef>
          </c:cat>
          <c:val>
            <c:numRef>
              <c:f>'产品渠道'!$N$5:$N$8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渠道销售贡献（元）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销售额</c:v>
          </c:tx>
          <c:cat>
            <c:strRef>
              <c:f>'产品渠道'!$A$12:$A$14</c:f>
              <c:strCache>
                <c:ptCount val="0"/>
              </c:strCache>
            </c:strRef>
          </c:cat>
          <c:val>
            <c:numRef>
              <c:f>'产品渠道'!$B$12:$B$14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所选季度SKU期末库存（台）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期末库存</c:v>
          </c:tx>
          <c:cat>
            <c:strRef>
              <c:f>'库存预警'!$A$7:$A$10</c:f>
              <c:strCache>
                <c:ptCount val="0"/>
              </c:strCache>
            </c:strRef>
          </c:cat>
          <c:val>
            <c:numRef>
              <c:f>'库存预警'!$B$7:$B$10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季度期末现金（元）</a:t>
            </a:r>
          </a:p>
        </c:rich>
      </c:tx>
    </c:title>
    <c:plotArea>
      <c:lineChart>
        <c:grouping val="standard"/>
        <c:ser>
          <c:idx val="0"/>
          <c:order val="0"/>
          <c:tx>
            <c:v>期末现金</c:v>
          </c:tx>
          <c:marker>
            <c:symbol val="none"/>
          </c:marker>
          <c:cat>
            <c:strRef>
              <c:f>'现金流'!$M$5:$M$18</c:f>
              <c:strCache>
                <c:ptCount val="0"/>
              </c:strCache>
            </c:strRef>
          </c:cat>
          <c:val>
            <c:numRef>
              <c:f>'现金流'!$N$5:$N$18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累计资金用途（元）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累计流出</c:v>
          </c:tx>
          <c:cat>
            <c:strRef>
              <c:f>'现金流'!$H$5:$H$14</c:f>
              <c:strCache>
                <c:ptCount val="0"/>
              </c:strCache>
            </c:strRef>
          </c:cat>
          <c:val>
            <c:numRef>
              <c:f>'现金流'!$I$5:$I$14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fd4c18c1c442c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73043b539543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8a360ba40489f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0d927058a048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a71018db3e42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f74ec118324c36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f0f59f02e44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c5306c87d942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0e18fb0e54e4a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940020253e3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442adc6ea1640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13" t="str">
        <x:v>手机产销存与现金效率分析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 ht="25" customHeight="1">
      <x:c r="A2" s="18" t="str">
        <x:v>南湖高新科技有限责任公司｜42个月 / 14个经营季度｜数据截至 2025-06｜币种：人民币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 ht="28" customHeight="1">
      <x:c r="A4" s="23" t="str">
        <x:v>管理层关注：增长是否转化为可持续利润，履约与产能是否承压，现金缓冲是否足以覆盖采购与债务时点。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6">
      <x:c r="A6" s="29" t="str">
        <x:v>累计销售额</x:v>
      </x:c>
      <x:c r="B6" s="30"/>
      <x:c r="C6" s="29" t="str">
        <x:v>综合毛利率</x:v>
      </x:c>
      <x:c r="D6" s="30"/>
      <x:c r="E6" s="29" t="str">
        <x:v>数量履约率</x:v>
      </x:c>
      <x:c r="F6" s="30"/>
      <x:c r="G6" s="29" t="str">
        <x:v>准时订单率</x:v>
      </x:c>
      <x:c r="H6" s="30"/>
      <x:c r="I6" s="29" t="str">
        <x:v>Q13产能利用率</x:v>
      </x:c>
      <x:c r="J6" s="30"/>
      <x:c r="K6" s="29" t="str">
        <x:v>最低季度现金</x:v>
      </x:c>
      <x:c r="L6" s="30"/>
      <x:c r="M6" s="29" t="str">
        <x:v>期末现金</x:v>
      </x:c>
      <x:c r="N6" s="30"/>
    </x:row>
    <x:row r="7">
      <x:c r="A7" s="51" t="n">
        <x:f>SUM('订单明细'!$N$2:$N$328)</x:f>
        <x:v>32870200</x:v>
      </x:c>
      <x:c r="B7" s="46"/>
      <x:c r="C7" s="52" t="n">
        <x:f>SUM('订单明细'!$Q$2:$Q$328)/SUM('订单明细'!$N$2:$N$328)</x:f>
        <x:v>0.28232006437441826</x:v>
      </x:c>
      <x:c r="D7" s="46"/>
      <x:c r="E7" s="52" t="n">
        <x:f>SUM('订单明细'!$J$2:$J$328)/SUM('订单明细'!$I$2:$I$328)</x:f>
        <x:v>1</x:v>
      </x:c>
      <x:c r="F7" s="46"/>
      <x:c r="G7" s="52" t="n">
        <x:f>SUM('订单明细'!$S$2:$S$328)/COUNTIFS('订单明细'!$A$2:$A$328,"&lt;&gt;")</x:f>
        <x:v>0.9204892966360856</x:v>
      </x:c>
      <x:c r="H7" s="46"/>
      <x:c r="I7" s="52" t="n">
        <x:f>SUMIFS('月度KPI'!$M$2:$M$43,'月度KPI'!$C$2:$C$43,13)/COUNTIFS('月度KPI'!$C$2:$C$43,13)</x:f>
        <x:v>0.9533333333333333</x:v>
      </x:c>
      <x:c r="J7" s="46"/>
      <x:c r="K7" s="51" t="n">
        <x:f>MIN('季度KPI'!$R$2:$R$15)</x:f>
        <x:v>3223</x:v>
      </x:c>
      <x:c r="L7" s="46"/>
      <x:c r="M7" s="51" t="n">
        <x:f>'季度KPI'!$R$15</x:f>
        <x:v>353274</x:v>
      </x:c>
      <x:c r="N7" s="46"/>
    </x:row>
    <x:row r="8">
      <x:c r="A8" s="47"/>
      <x:c r="B8" s="48"/>
      <x:c r="C8" s="47"/>
      <x:c r="D8" s="48"/>
      <x:c r="E8" s="47"/>
      <x:c r="F8" s="48"/>
      <x:c r="G8" s="47"/>
      <x:c r="H8" s="48"/>
      <x:c r="I8" s="47"/>
      <x:c r="J8" s="48"/>
      <x:c r="K8" s="47"/>
      <x:c r="L8" s="48"/>
      <x:c r="M8" s="47"/>
      <x:c r="N8" s="48"/>
    </x:row>
    <x:row r="9">
      <x:c r="A9" s="49"/>
      <x:c r="B9" s="50"/>
      <x:c r="C9" s="49"/>
      <x:c r="D9" s="50"/>
      <x:c r="E9" s="49"/>
      <x:c r="F9" s="50"/>
      <x:c r="G9" s="49"/>
      <x:c r="H9" s="50"/>
      <x:c r="I9" s="49"/>
      <x:c r="J9" s="50"/>
      <x:c r="K9" s="49"/>
      <x:c r="L9" s="50"/>
      <x:c r="M9" s="49"/>
      <x:c r="N9" s="50"/>
    </x:row>
    <x:row r="12" ht="24" customHeight="1">
      <x:c r="A12" s="6" t="str">
        <x:v>Month</x:v>
      </x:c>
      <x:c r="B12" s="6" t="str">
        <x:v>Sales</x:v>
      </x:c>
      <x:c r="C12" s="6" t="str">
        <x:v>Gross Profit</x:v>
      </x:c>
      <x:c r="D12" s="6" t="str">
        <x:v>Fill Rate</x:v>
      </x:c>
      <x:c r="E12" s="6" t="str">
        <x:v>On-time Rate</x:v>
      </x:c>
      <x:c r="F12" s="6" t="str">
        <x:v>Capacity Util.</x:v>
      </x:c>
      <x:c r="G12" s="6" t="str">
        <x:v>Closing Cash</x:v>
      </x:c>
      <x:c r="O12" t="str">
        <x:v>Month</x:v>
      </x:c>
      <x:c r="P12" t="str">
        <x:v>Closing Cash</x:v>
      </x:c>
    </x:row>
    <x:row r="13">
      <x:c r="A13" s="10" t="str">
        <x:f>'月度KPI'!B2</x:f>
        <x:v>2022-01</x:v>
      </x:c>
      <x:c r="B13" s="53" t="n">
        <x:f>'月度KPI'!E2</x:f>
        <x:v>0</x:v>
      </x:c>
      <x:c r="C13" s="53" t="n">
        <x:f>'月度KPI'!F2</x:f>
        <x:v>0</x:v>
      </x:c>
      <x:c r="D13" s="54" t="n">
        <x:f>'月度KPI'!J2</x:f>
        <x:v>0</x:v>
      </x:c>
      <x:c r="E13" s="54" t="n">
        <x:f>'月度KPI'!K2</x:f>
        <x:v>0</x:v>
      </x:c>
      <x:c r="F13" s="54" t="n">
        <x:f>'月度KPI'!M2</x:f>
        <x:v>0</x:v>
      </x:c>
      <x:c r="G13" s="53" t="n">
        <x:f>'月度KPI'!O2</x:f>
        <x:v>284745</x:v>
      </x:c>
      <x:c r="O13" t="str">
        <x:f>A13</x:f>
        <x:v>2022-01</x:v>
      </x:c>
      <x:c r="P13" t="n">
        <x:f>G13</x:f>
        <x:v>284745</x:v>
      </x:c>
    </x:row>
    <x:row r="14">
      <x:c r="A14" s="10" t="str">
        <x:f>'月度KPI'!B3</x:f>
        <x:v>2022-02</x:v>
      </x:c>
      <x:c r="B14" s="53" t="n">
        <x:f>'月度KPI'!E3</x:f>
        <x:v>0</x:v>
      </x:c>
      <x:c r="C14" s="53" t="n">
        <x:f>'月度KPI'!F3</x:f>
        <x:v>0</x:v>
      </x:c>
      <x:c r="D14" s="54" t="n">
        <x:f>'月度KPI'!J3</x:f>
        <x:v>0</x:v>
      </x:c>
      <x:c r="E14" s="54" t="n">
        <x:f>'月度KPI'!K3</x:f>
        <x:v>0</x:v>
      </x:c>
      <x:c r="F14" s="54" t="n">
        <x:f>'月度KPI'!M3</x:f>
        <x:v>0</x:v>
      </x:c>
      <x:c r="G14" s="53" t="n">
        <x:f>'月度KPI'!O3</x:f>
        <x:v>652926</x:v>
      </x:c>
      <x:c r="O14" t="str">
        <x:f>A14</x:f>
        <x:v>2022-02</x:v>
      </x:c>
      <x:c r="P14" t="n">
        <x:f>G14</x:f>
        <x:v>652926</x:v>
      </x:c>
    </x:row>
    <x:row r="15">
      <x:c r="A15" s="10" t="str">
        <x:f>'月度KPI'!B4</x:f>
        <x:v>2022-03</x:v>
      </x:c>
      <x:c r="B15" s="53" t="n">
        <x:f>'月度KPI'!E4</x:f>
        <x:v>0</x:v>
      </x:c>
      <x:c r="C15" s="53" t="n">
        <x:f>'月度KPI'!F4</x:f>
        <x:v>0</x:v>
      </x:c>
      <x:c r="D15" s="54" t="n">
        <x:f>'月度KPI'!J4</x:f>
        <x:v>0</x:v>
      </x:c>
      <x:c r="E15" s="54" t="n">
        <x:f>'月度KPI'!K4</x:f>
        <x:v>0</x:v>
      </x:c>
      <x:c r="F15" s="54" t="n">
        <x:f>'月度KPI'!M4</x:f>
        <x:v>0</x:v>
      </x:c>
      <x:c r="G15" s="53" t="n">
        <x:f>'月度KPI'!O4</x:f>
        <x:v>1744000</x:v>
      </x:c>
      <x:c r="O15" t="str">
        <x:f>A15</x:f>
        <x:v>2022-03</x:v>
      </x:c>
      <x:c r="P15" t="n">
        <x:f>G15</x:f>
        <x:v>1744000</x:v>
      </x:c>
    </x:row>
    <x:row r="16">
      <x:c r="A16" s="10" t="str">
        <x:f>'月度KPI'!B5</x:f>
        <x:v>2022-04</x:v>
      </x:c>
      <x:c r="B16" s="53" t="n">
        <x:f>'月度KPI'!E5</x:f>
        <x:v>0</x:v>
      </x:c>
      <x:c r="C16" s="53" t="n">
        <x:f>'月度KPI'!F5</x:f>
        <x:v>0</x:v>
      </x:c>
      <x:c r="D16" s="54" t="n">
        <x:f>'月度KPI'!J5</x:f>
        <x:v>0</x:v>
      </x:c>
      <x:c r="E16" s="54" t="n">
        <x:f>'月度KPI'!K5</x:f>
        <x:v>0</x:v>
      </x:c>
      <x:c r="F16" s="54" t="n">
        <x:f>'月度KPI'!M5</x:f>
        <x:v>0.52</x:v>
      </x:c>
      <x:c r="G16" s="53" t="n">
        <x:f>'月度KPI'!O5</x:f>
        <x:v>1545286</x:v>
      </x:c>
      <x:c r="O16" t="str">
        <x:f>A16</x:f>
        <x:v>2022-04</x:v>
      </x:c>
      <x:c r="P16" t="n">
        <x:f>G16</x:f>
        <x:v>1545286</x:v>
      </x:c>
    </x:row>
    <x:row r="17">
      <x:c r="A17" s="10" t="str">
        <x:f>'月度KPI'!B6</x:f>
        <x:v>2022-05</x:v>
      </x:c>
      <x:c r="B17" s="53" t="n">
        <x:f>'月度KPI'!E6</x:f>
        <x:v>0</x:v>
      </x:c>
      <x:c r="C17" s="53" t="n">
        <x:f>'月度KPI'!F6</x:f>
        <x:v>0</x:v>
      </x:c>
      <x:c r="D17" s="54" t="n">
        <x:f>'月度KPI'!J6</x:f>
        <x:v>0</x:v>
      </x:c>
      <x:c r="E17" s="54" t="n">
        <x:f>'月度KPI'!K6</x:f>
        <x:v>0</x:v>
      </x:c>
      <x:c r="F17" s="54" t="n">
        <x:f>'月度KPI'!M6</x:f>
        <x:v>0.008</x:v>
      </x:c>
      <x:c r="G17" s="53" t="n">
        <x:f>'月度KPI'!O6</x:f>
        <x:v>906071</x:v>
      </x:c>
      <x:c r="O17" t="str">
        <x:f>A17</x:f>
        <x:v>2022-05</x:v>
      </x:c>
      <x:c r="P17" t="n">
        <x:f>G17</x:f>
        <x:v>906071</x:v>
      </x:c>
    </x:row>
    <x:row r="18">
      <x:c r="A18" s="10" t="str">
        <x:f>'月度KPI'!B7</x:f>
        <x:v>2022-06</x:v>
      </x:c>
      <x:c r="B18" s="53" t="n">
        <x:f>'月度KPI'!E7</x:f>
        <x:v>0</x:v>
      </x:c>
      <x:c r="C18" s="53" t="n">
        <x:f>'月度KPI'!F7</x:f>
        <x:v>0</x:v>
      </x:c>
      <x:c r="D18" s="54" t="n">
        <x:f>'月度KPI'!J7</x:f>
        <x:v>0</x:v>
      </x:c>
      <x:c r="E18" s="54" t="n">
        <x:f>'月度KPI'!K7</x:f>
        <x:v>0</x:v>
      </x:c>
      <x:c r="F18" s="54" t="n">
        <x:f>'月度KPI'!M7</x:f>
        <x:v>0</x:v>
      </x:c>
      <x:c r="G18" s="53" t="n">
        <x:f>'月度KPI'!O7</x:f>
        <x:v>516516</x:v>
      </x:c>
      <x:c r="O18" t="str">
        <x:f>A18</x:f>
        <x:v>2022-06</x:v>
      </x:c>
      <x:c r="P18" t="n">
        <x:f>G18</x:f>
        <x:v>516516</x:v>
      </x:c>
    </x:row>
    <x:row r="19">
      <x:c r="A19" s="10" t="str">
        <x:f>'月度KPI'!B8</x:f>
        <x:v>2022-07</x:v>
      </x:c>
      <x:c r="B19" s="53" t="n">
        <x:f>'月度KPI'!E8</x:f>
        <x:v>0</x:v>
      </x:c>
      <x:c r="C19" s="53" t="n">
        <x:f>'月度KPI'!F8</x:f>
        <x:v>0</x:v>
      </x:c>
      <x:c r="D19" s="54" t="n">
        <x:f>'月度KPI'!J8</x:f>
        <x:v>0</x:v>
      </x:c>
      <x:c r="E19" s="54" t="n">
        <x:f>'月度KPI'!K8</x:f>
        <x:v>0</x:v>
      </x:c>
      <x:c r="F19" s="54" t="n">
        <x:f>'月度KPI'!M8</x:f>
        <x:v>0</x:v>
      </x:c>
      <x:c r="G19" s="53" t="n">
        <x:f>'月度KPI'!O8</x:f>
        <x:v>396415</x:v>
      </x:c>
      <x:c r="O19" t="str">
        <x:f>A19</x:f>
        <x:v>2022-07</x:v>
      </x:c>
      <x:c r="P19" t="n">
        <x:f>G19</x:f>
        <x:v>396415</x:v>
      </x:c>
    </x:row>
    <x:row r="20">
      <x:c r="A20" s="10" t="str">
        <x:f>'月度KPI'!B9</x:f>
        <x:v>2022-08</x:v>
      </x:c>
      <x:c r="B20" s="53" t="n">
        <x:f>'月度KPI'!E9</x:f>
        <x:v>0</x:v>
      </x:c>
      <x:c r="C20" s="53" t="n">
        <x:f>'月度KPI'!F9</x:f>
        <x:v>0</x:v>
      </x:c>
      <x:c r="D20" s="54" t="n">
        <x:f>'月度KPI'!J9</x:f>
        <x:v>0</x:v>
      </x:c>
      <x:c r="E20" s="54" t="n">
        <x:f>'月度KPI'!K9</x:f>
        <x:v>0</x:v>
      </x:c>
      <x:c r="F20" s="54" t="n">
        <x:f>'月度KPI'!M9</x:f>
        <x:v>0</x:v>
      </x:c>
      <x:c r="G20" s="53" t="n">
        <x:f>'月度KPI'!O9</x:f>
        <x:v>274849</x:v>
      </x:c>
      <x:c r="O20" t="str">
        <x:f>A20</x:f>
        <x:v>2022-08</x:v>
      </x:c>
      <x:c r="P20" t="n">
        <x:f>G20</x:f>
        <x:v>274849</x:v>
      </x:c>
    </x:row>
    <x:row r="21">
      <x:c r="A21" s="10" t="str">
        <x:f>'月度KPI'!B10</x:f>
        <x:v>2022-09</x:v>
      </x:c>
      <x:c r="B21" s="53" t="n">
        <x:f>'月度KPI'!E10</x:f>
        <x:v>0</x:v>
      </x:c>
      <x:c r="C21" s="53" t="n">
        <x:f>'月度KPI'!F10</x:f>
        <x:v>0</x:v>
      </x:c>
      <x:c r="D21" s="54" t="n">
        <x:f>'月度KPI'!J10</x:f>
        <x:v>0</x:v>
      </x:c>
      <x:c r="E21" s="54" t="n">
        <x:f>'月度KPI'!K10</x:f>
        <x:v>0</x:v>
      </x:c>
      <x:c r="F21" s="54" t="n">
        <x:f>'月度KPI'!M10</x:f>
        <x:v>0</x:v>
      </x:c>
      <x:c r="G21" s="53" t="n">
        <x:f>'月度KPI'!O10</x:f>
        <x:v>114780</x:v>
      </x:c>
      <x:c r="O21" t="str">
        <x:f>A21</x:f>
        <x:v>2022-09</x:v>
      </x:c>
      <x:c r="P21" t="n">
        <x:f>G21</x:f>
        <x:v>114780</x:v>
      </x:c>
    </x:row>
    <x:row r="22">
      <x:c r="A22" s="10" t="str">
        <x:f>'月度KPI'!B11</x:f>
        <x:v>2022-10</x:v>
      </x:c>
      <x:c r="B22" s="53" t="n">
        <x:f>'月度KPI'!E11</x:f>
        <x:v>0</x:v>
      </x:c>
      <x:c r="C22" s="53" t="n">
        <x:f>'月度KPI'!F11</x:f>
        <x:v>0</x:v>
      </x:c>
      <x:c r="D22" s="54" t="n">
        <x:f>'月度KPI'!J11</x:f>
        <x:v>0</x:v>
      </x:c>
      <x:c r="E22" s="54" t="n">
        <x:f>'月度KPI'!K11</x:f>
        <x:v>0</x:v>
      </x:c>
      <x:c r="F22" s="54" t="n">
        <x:f>'月度KPI'!M11</x:f>
        <x:v>0</x:v>
      </x:c>
      <x:c r="G22" s="53" t="n">
        <x:f>'月度KPI'!O11</x:f>
        <x:v>114780</x:v>
      </x:c>
      <x:c r="O22" t="str">
        <x:f>A22</x:f>
        <x:v>2022-10</x:v>
      </x:c>
      <x:c r="P22" t="n">
        <x:f>G22</x:f>
        <x:v>114780</x:v>
      </x:c>
    </x:row>
    <x:row r="23">
      <x:c r="A23" s="10" t="str">
        <x:f>'月度KPI'!B12</x:f>
        <x:v>2022-11</x:v>
      </x:c>
      <x:c r="B23" s="53" t="n">
        <x:f>'月度KPI'!E12</x:f>
        <x:v>0</x:v>
      </x:c>
      <x:c r="C23" s="53" t="n">
        <x:f>'月度KPI'!F12</x:f>
        <x:v>0</x:v>
      </x:c>
      <x:c r="D23" s="54" t="n">
        <x:f>'月度KPI'!J12</x:f>
        <x:v>0</x:v>
      </x:c>
      <x:c r="E23" s="54" t="n">
        <x:f>'月度KPI'!K12</x:f>
        <x:v>0</x:v>
      </x:c>
      <x:c r="F23" s="54" t="n">
        <x:f>'月度KPI'!M12</x:f>
        <x:v>0</x:v>
      </x:c>
      <x:c r="G23" s="53" t="n">
        <x:f>'月度KPI'!O12</x:f>
        <x:v>114780</x:v>
      </x:c>
      <x:c r="O23" t="str">
        <x:f>A23</x:f>
        <x:v>2022-11</x:v>
      </x:c>
      <x:c r="P23" t="n">
        <x:f>G23</x:f>
        <x:v>114780</x:v>
      </x:c>
    </x:row>
    <x:row r="24">
      <x:c r="A24" s="10" t="str">
        <x:f>'月度KPI'!B13</x:f>
        <x:v>2022-12</x:v>
      </x:c>
      <x:c r="B24" s="53" t="n">
        <x:f>'月度KPI'!E13</x:f>
        <x:v>0</x:v>
      </x:c>
      <x:c r="C24" s="53" t="n">
        <x:f>'月度KPI'!F13</x:f>
        <x:v>0</x:v>
      </x:c>
      <x:c r="D24" s="54" t="n">
        <x:f>'月度KPI'!J13</x:f>
        <x:v>0</x:v>
      </x:c>
      <x:c r="E24" s="54" t="n">
        <x:f>'月度KPI'!K13</x:f>
        <x:v>0</x:v>
      </x:c>
      <x:c r="F24" s="54" t="n">
        <x:f>'月度KPI'!M13</x:f>
        <x:v>0</x:v>
      </x:c>
      <x:c r="G24" s="53" t="n">
        <x:f>'月度KPI'!O13</x:f>
        <x:v>114780</x:v>
      </x:c>
      <x:c r="O24" t="str">
        <x:f>A24</x:f>
        <x:v>2022-12</x:v>
      </x:c>
      <x:c r="P24" t="n">
        <x:f>G24</x:f>
        <x:v>114780</x:v>
      </x:c>
    </x:row>
    <x:row r="25">
      <x:c r="A25" s="10" t="str">
        <x:f>'月度KPI'!B14</x:f>
        <x:v>2023-01</x:v>
      </x:c>
      <x:c r="B25" s="53" t="n">
        <x:f>'月度KPI'!E14</x:f>
        <x:v>549427</x:v>
      </x:c>
      <x:c r="C25" s="53" t="n">
        <x:f>'月度KPI'!F14</x:f>
        <x:v>162117.45</x:v>
      </x:c>
      <x:c r="D25" s="54" t="n">
        <x:f>'月度KPI'!J14</x:f>
        <x:v>1</x:v>
      </x:c>
      <x:c r="E25" s="54" t="n">
        <x:f>'月度KPI'!K14</x:f>
        <x:v>1</x:v>
      </x:c>
      <x:c r="F25" s="54" t="n">
        <x:f>'月度KPI'!M14</x:f>
        <x:v>0.6667</x:v>
      </x:c>
      <x:c r="G25" s="53" t="n">
        <x:f>'月度KPI'!O14</x:f>
        <x:v>194103</x:v>
      </x:c>
      <x:c r="O25" t="str">
        <x:f>A25</x:f>
        <x:v>2023-01</x:v>
      </x:c>
      <x:c r="P25" t="n">
        <x:f>G25</x:f>
        <x:v>194103</x:v>
      </x:c>
    </x:row>
    <x:row r="26">
      <x:c r="A26" s="10" t="str">
        <x:f>'月度KPI'!B15</x:f>
        <x:v>2023-02</x:v>
      </x:c>
      <x:c r="B26" s="53" t="n">
        <x:f>'月度KPI'!E15</x:f>
        <x:v>609877</x:v>
      </x:c>
      <x:c r="C26" s="53" t="n">
        <x:f>'月度KPI'!F15</x:f>
        <x:v>143924.3</x:v>
      </x:c>
      <x:c r="D26" s="54" t="n">
        <x:f>'月度KPI'!J15</x:f>
        <x:v>1</x:v>
      </x:c>
      <x:c r="E26" s="54" t="n">
        <x:f>'月度KPI'!K15</x:f>
        <x:v>0.875</x:v>
      </x:c>
      <x:c r="F26" s="54" t="n">
        <x:f>'月度KPI'!M15</x:f>
        <x:v>0.7533</x:v>
      </x:c>
      <x:c r="G26" s="53" t="n">
        <x:f>'月度KPI'!O15</x:f>
        <x:v>230647</x:v>
      </x:c>
      <x:c r="O26" t="str">
        <x:f>A26</x:f>
        <x:v>2023-02</x:v>
      </x:c>
      <x:c r="P26" t="n">
        <x:f>G26</x:f>
        <x:v>230647</x:v>
      </x:c>
    </x:row>
    <x:row r="27">
      <x:c r="A27" s="10" t="str">
        <x:f>'月度KPI'!B16</x:f>
        <x:v>2023-03</x:v>
      </x:c>
      <x:c r="B27" s="53" t="n">
        <x:f>'月度KPI'!E16</x:f>
        <x:v>643196</x:v>
      </x:c>
      <x:c r="C27" s="53" t="n">
        <x:f>'月度KPI'!F16</x:f>
        <x:v>195952.94</x:v>
      </x:c>
      <x:c r="D27" s="54" t="n">
        <x:f>'月度KPI'!J16</x:f>
        <x:v>1</x:v>
      </x:c>
      <x:c r="E27" s="54" t="n">
        <x:f>'月度KPI'!K16</x:f>
        <x:v>1</x:v>
      </x:c>
      <x:c r="F27" s="54" t="n">
        <x:f>'月度KPI'!M16</x:f>
        <x:v>0.7933</x:v>
      </x:c>
      <x:c r="G27" s="53" t="n">
        <x:f>'月度KPI'!O16</x:f>
        <x:v>144745</x:v>
      </x:c>
      <x:c r="O27" t="str">
        <x:f>A27</x:f>
        <x:v>2023-03</x:v>
      </x:c>
      <x:c r="P27" t="n">
        <x:f>G27</x:f>
        <x:v>144745</x:v>
      </x:c>
    </x:row>
    <x:row r="28">
      <x:c r="A28" s="10" t="str">
        <x:f>'月度KPI'!B17</x:f>
        <x:v>2023-04</x:v>
      </x:c>
      <x:c r="B28" s="53" t="n">
        <x:f>'月度KPI'!E17</x:f>
        <x:v>380626</x:v>
      </x:c>
      <x:c r="C28" s="53" t="n">
        <x:f>'月度KPI'!F17</x:f>
        <x:v>111766.13</x:v>
      </x:c>
      <x:c r="D28" s="54" t="n">
        <x:f>'月度KPI'!J17</x:f>
        <x:v>1</x:v>
      </x:c>
      <x:c r="E28" s="54" t="n">
        <x:f>'月度KPI'!K17</x:f>
        <x:v>0.875</x:v>
      </x:c>
      <x:c r="F28" s="54" t="n">
        <x:f>'月度KPI'!M17</x:f>
        <x:v>0.4581</x:v>
      </x:c>
      <x:c r="G28" s="53" t="n">
        <x:f>'月度KPI'!O17</x:f>
        <x:v>41770</x:v>
      </x:c>
      <x:c r="O28" t="str">
        <x:f>A28</x:f>
        <x:v>2023-04</x:v>
      </x:c>
      <x:c r="P28" t="n">
        <x:f>G28</x:f>
        <x:v>41770</x:v>
      </x:c>
    </x:row>
    <x:row r="29">
      <x:c r="A29" s="10" t="str">
        <x:f>'月度KPI'!B18</x:f>
        <x:v>2023-05</x:v>
      </x:c>
      <x:c r="B29" s="53" t="n">
        <x:f>'月度KPI'!E18</x:f>
        <x:v>425073</x:v>
      </x:c>
      <x:c r="C29" s="53" t="n">
        <x:f>'月度KPI'!F18</x:f>
        <x:v>108076.2</x:v>
      </x:c>
      <x:c r="D29" s="54" t="n">
        <x:f>'月度KPI'!J18</x:f>
        <x:v>1</x:v>
      </x:c>
      <x:c r="E29" s="54" t="n">
        <x:f>'月度KPI'!K18</x:f>
        <x:v>1</x:v>
      </x:c>
      <x:c r="F29" s="54" t="n">
        <x:f>'月度KPI'!M18</x:f>
        <x:v>0.5065</x:v>
      </x:c>
      <x:c r="G29" s="53" t="n">
        <x:f>'月度KPI'!O18</x:f>
        <x:v>97122</x:v>
      </x:c>
      <x:c r="O29" t="str">
        <x:f>A29</x:f>
        <x:v>2023-05</x:v>
      </x:c>
      <x:c r="P29" t="n">
        <x:f>G29</x:f>
        <x:v>97122</x:v>
      </x:c>
    </x:row>
    <x:row r="30">
      <x:c r="A30" s="10" t="str">
        <x:f>'月度KPI'!B19</x:f>
        <x:v>2023-06</x:v>
      </x:c>
      <x:c r="B30" s="53" t="n">
        <x:f>'月度KPI'!E19</x:f>
        <x:v>491701</x:v>
      </x:c>
      <x:c r="C30" s="53" t="n">
        <x:f>'月度KPI'!F19</x:f>
        <x:v>140829.29</x:v>
      </x:c>
      <x:c r="D30" s="54" t="n">
        <x:f>'月度KPI'!J19</x:f>
        <x:v>1</x:v>
      </x:c>
      <x:c r="E30" s="54" t="n">
        <x:f>'月度KPI'!K19</x:f>
        <x:v>0.875</x:v>
      </x:c>
      <x:c r="F30" s="54" t="n">
        <x:f>'月度KPI'!M19</x:f>
        <x:v>0.5871</x:v>
      </x:c>
      <x:c r="G30" s="53" t="n">
        <x:f>'月度KPI'!O19</x:f>
        <x:v>326460</x:v>
      </x:c>
      <x:c r="O30" t="str">
        <x:f>A30</x:f>
        <x:v>2023-06</x:v>
      </x:c>
      <x:c r="P30" t="n">
        <x:f>G30</x:f>
        <x:v>326460</x:v>
      </x:c>
    </x:row>
    <x:row r="31">
      <x:c r="A31" s="10" t="str">
        <x:f>'月度KPI'!B20</x:f>
        <x:v>2023-07</x:v>
      </x:c>
      <x:c r="B31" s="53" t="n">
        <x:f>'月度KPI'!E20</x:f>
        <x:v>0</x:v>
      </x:c>
      <x:c r="C31" s="53" t="n">
        <x:f>'月度KPI'!F20</x:f>
        <x:v>0</x:v>
      </x:c>
      <x:c r="D31" s="54" t="n">
        <x:f>'月度KPI'!J20</x:f>
        <x:v>0</x:v>
      </x:c>
      <x:c r="E31" s="54" t="n">
        <x:f>'月度KPI'!K20</x:f>
        <x:v>0</x:v>
      </x:c>
      <x:c r="F31" s="54" t="n">
        <x:f>'月度KPI'!M20</x:f>
        <x:v>0.0091</x:v>
      </x:c>
      <x:c r="G31" s="53" t="n">
        <x:f>'月度KPI'!O20</x:f>
        <x:v>238640</x:v>
      </x:c>
      <x:c r="O31" t="str">
        <x:f>A31</x:f>
        <x:v>2023-07</x:v>
      </x:c>
      <x:c r="P31" t="n">
        <x:f>G31</x:f>
        <x:v>238640</x:v>
      </x:c>
    </x:row>
    <x:row r="32">
      <x:c r="A32" s="10" t="str">
        <x:f>'月度KPI'!B21</x:f>
        <x:v>2023-08</x:v>
      </x:c>
      <x:c r="B32" s="53" t="n">
        <x:f>'月度KPI'!E21</x:f>
        <x:v>0</x:v>
      </x:c>
      <x:c r="C32" s="53" t="n">
        <x:f>'月度KPI'!F21</x:f>
        <x:v>0</x:v>
      </x:c>
      <x:c r="D32" s="54" t="n">
        <x:f>'月度KPI'!J21</x:f>
        <x:v>0</x:v>
      </x:c>
      <x:c r="E32" s="54" t="n">
        <x:f>'月度KPI'!K21</x:f>
        <x:v>0</x:v>
      </x:c>
      <x:c r="F32" s="54" t="n">
        <x:f>'月度KPI'!M21</x:f>
        <x:v>0</x:v>
      </x:c>
      <x:c r="G32" s="53" t="n">
        <x:f>'月度KPI'!O21</x:f>
        <x:v>141941</x:v>
      </x:c>
      <x:c r="O32" t="str">
        <x:f>A32</x:f>
        <x:v>2023-08</x:v>
      </x:c>
      <x:c r="P32" t="n">
        <x:f>G32</x:f>
        <x:v>141941</x:v>
      </x:c>
    </x:row>
    <x:row r="33">
      <x:c r="A33" s="10" t="str">
        <x:f>'月度KPI'!B22</x:f>
        <x:v>2023-09</x:v>
      </x:c>
      <x:c r="B33" s="53" t="n">
        <x:f>'月度KPI'!E22</x:f>
        <x:v>0</x:v>
      </x:c>
      <x:c r="C33" s="53" t="n">
        <x:f>'月度KPI'!F22</x:f>
        <x:v>0</x:v>
      </x:c>
      <x:c r="D33" s="54" t="n">
        <x:f>'月度KPI'!J22</x:f>
        <x:v>0</x:v>
      </x:c>
      <x:c r="E33" s="54" t="n">
        <x:f>'月度KPI'!K22</x:f>
        <x:v>0</x:v>
      </x:c>
      <x:c r="F33" s="54" t="n">
        <x:f>'月度KPI'!M22</x:f>
        <x:v>0</x:v>
      </x:c>
      <x:c r="G33" s="53" t="n">
        <x:f>'月度KPI'!O22</x:f>
        <x:v>62683</x:v>
      </x:c>
      <x:c r="O33" t="str">
        <x:f>A33</x:f>
        <x:v>2023-09</x:v>
      </x:c>
      <x:c r="P33" t="n">
        <x:f>G33</x:f>
        <x:v>62683</x:v>
      </x:c>
    </x:row>
    <x:row r="34">
      <x:c r="A34" s="10" t="str">
        <x:f>'月度KPI'!B23</x:f>
        <x:v>2023-10</x:v>
      </x:c>
      <x:c r="B34" s="53" t="n">
        <x:f>'月度KPI'!E23</x:f>
        <x:v>676859</x:v>
      </x:c>
      <x:c r="C34" s="53" t="n">
        <x:f>'月度KPI'!F23</x:f>
        <x:v>201263.51</x:v>
      </x:c>
      <x:c r="D34" s="54" t="n">
        <x:f>'月度KPI'!J23</x:f>
        <x:v>1</x:v>
      </x:c>
      <x:c r="E34" s="54" t="n">
        <x:f>'月度KPI'!K23</x:f>
        <x:v>0.875</x:v>
      </x:c>
      <x:c r="F34" s="54" t="n">
        <x:f>'月度KPI'!M23</x:f>
        <x:v>0.6308</x:v>
      </x:c>
      <x:c r="G34" s="53" t="n">
        <x:f>'月度KPI'!O23</x:f>
        <x:v>9434</x:v>
      </x:c>
      <x:c r="O34" t="str">
        <x:f>A34</x:f>
        <x:v>2023-10</x:v>
      </x:c>
      <x:c r="P34" t="n">
        <x:f>G34</x:f>
        <x:v>9434</x:v>
      </x:c>
    </x:row>
    <x:row r="35">
      <x:c r="A35" s="10" t="str">
        <x:f>'月度KPI'!B24</x:f>
        <x:v>2023-11</x:v>
      </x:c>
      <x:c r="B35" s="53" t="n">
        <x:f>'月度KPI'!E24</x:f>
        <x:v>829194</x:v>
      </x:c>
      <x:c r="C35" s="53" t="n">
        <x:f>'月度KPI'!F24</x:f>
        <x:v>269634.59</x:v>
      </x:c>
      <x:c r="D35" s="54" t="n">
        <x:f>'月度KPI'!J24</x:f>
        <x:v>1</x:v>
      </x:c>
      <x:c r="E35" s="54" t="n">
        <x:f>'月度KPI'!K24</x:f>
        <x:v>1</x:v>
      </x:c>
      <x:c r="F35" s="54" t="n">
        <x:f>'月度KPI'!M24</x:f>
        <x:v>0.7795</x:v>
      </x:c>
      <x:c r="G35" s="53" t="n">
        <x:f>'月度KPI'!O24</x:f>
        <x:v>148827</x:v>
      </x:c>
      <x:c r="O35" t="str">
        <x:f>A35</x:f>
        <x:v>2023-11</x:v>
      </x:c>
      <x:c r="P35" t="n">
        <x:f>G35</x:f>
        <x:v>148827</x:v>
      </x:c>
    </x:row>
    <x:row r="36">
      <x:c r="A36" s="10" t="str">
        <x:f>'月度KPI'!B25</x:f>
        <x:v>2023-12</x:v>
      </x:c>
      <x:c r="B36" s="53" t="n">
        <x:f>'月度KPI'!E25</x:f>
        <x:v>943947</x:v>
      </x:c>
      <x:c r="C36" s="53" t="n">
        <x:f>'月度KPI'!F25</x:f>
        <x:v>261786</x:v>
      </x:c>
      <x:c r="D36" s="54" t="n">
        <x:f>'月度KPI'!J25</x:f>
        <x:v>1</x:v>
      </x:c>
      <x:c r="E36" s="54" t="n">
        <x:f>'月度KPI'!K25</x:f>
        <x:v>0.875</x:v>
      </x:c>
      <x:c r="F36" s="54" t="n">
        <x:f>'月度KPI'!M25</x:f>
        <x:v>1</x:v>
      </x:c>
      <x:c r="G36" s="53" t="n">
        <x:f>'月度KPI'!O25</x:f>
        <x:v>163035</x:v>
      </x:c>
      <x:c r="O36" t="str">
        <x:f>A36</x:f>
        <x:v>2023-12</x:v>
      </x:c>
      <x:c r="P36" t="n">
        <x:f>G36</x:f>
        <x:v>163035</x:v>
      </x:c>
    </x:row>
    <x:row r="37">
      <x:c r="A37" s="10" t="str">
        <x:f>'月度KPI'!B26</x:f>
        <x:v>2024-01</x:v>
      </x:c>
      <x:c r="B37" s="53" t="n">
        <x:f>'月度KPI'!E26</x:f>
        <x:v>636814</x:v>
      </x:c>
      <x:c r="C37" s="53" t="n">
        <x:f>'月度KPI'!F26</x:f>
        <x:v>178235.37</x:v>
      </x:c>
      <x:c r="D37" s="54" t="n">
        <x:f>'月度KPI'!J26</x:f>
        <x:v>1</x:v>
      </x:c>
      <x:c r="E37" s="54" t="n">
        <x:f>'月度KPI'!K26</x:f>
        <x:v>0.9375</x:v>
      </x:c>
      <x:c r="F37" s="54" t="n">
        <x:f>'月度KPI'!M26</x:f>
        <x:v>0.446</x:v>
      </x:c>
      <x:c r="G37" s="53" t="n">
        <x:f>'月度KPI'!O26</x:f>
        <x:v>151563</x:v>
      </x:c>
      <x:c r="O37" t="str">
        <x:f>A37</x:f>
        <x:v>2024-01</x:v>
      </x:c>
      <x:c r="P37" t="n">
        <x:f>G37</x:f>
        <x:v>151563</x:v>
      </x:c>
    </x:row>
    <x:row r="38">
      <x:c r="A38" s="10" t="str">
        <x:f>'月度KPI'!B27</x:f>
        <x:v>2024-02</x:v>
      </x:c>
      <x:c r="B38" s="53" t="n">
        <x:f>'月度KPI'!E27</x:f>
        <x:v>614207</x:v>
      </x:c>
      <x:c r="C38" s="53" t="n">
        <x:f>'月度KPI'!F27</x:f>
        <x:v>151246.15</x:v>
      </x:c>
      <x:c r="D38" s="54" t="n">
        <x:f>'月度KPI'!J27</x:f>
        <x:v>1</x:v>
      </x:c>
      <x:c r="E38" s="54" t="n">
        <x:f>'月度KPI'!K27</x:f>
        <x:v>0.875</x:v>
      </x:c>
      <x:c r="F38" s="54" t="n">
        <x:f>'月度KPI'!M27</x:f>
        <x:v>0.326</x:v>
      </x:c>
      <x:c r="G38" s="53" t="n">
        <x:f>'月度KPI'!O27</x:f>
        <x:v>182118</x:v>
      </x:c>
      <x:c r="O38" t="str">
        <x:f>A38</x:f>
        <x:v>2024-02</x:v>
      </x:c>
      <x:c r="P38" t="n">
        <x:f>G38</x:f>
        <x:v>182118</x:v>
      </x:c>
    </x:row>
    <x:row r="39">
      <x:c r="A39" s="10" t="str">
        <x:f>'月度KPI'!B28</x:f>
        <x:v>2024-03</x:v>
      </x:c>
      <x:c r="B39" s="53" t="n">
        <x:f>'月度KPI'!E28</x:f>
        <x:v>744279</x:v>
      </x:c>
      <x:c r="C39" s="53" t="n">
        <x:f>'月度KPI'!F28</x:f>
        <x:v>201675.54</x:v>
      </x:c>
      <x:c r="D39" s="54" t="n">
        <x:f>'月度KPI'!J28</x:f>
        <x:v>1</x:v>
      </x:c>
      <x:c r="E39" s="54" t="n">
        <x:f>'月度KPI'!K28</x:f>
        <x:v>0.875</x:v>
      </x:c>
      <x:c r="F39" s="54" t="n">
        <x:f>'月度KPI'!M28</x:f>
        <x:v>0.394</x:v>
      </x:c>
      <x:c r="G39" s="53" t="n">
        <x:f>'月度KPI'!O28</x:f>
        <x:v>46943</x:v>
      </x:c>
      <x:c r="O39" t="str">
        <x:f>A39</x:f>
        <x:v>2024-03</x:v>
      </x:c>
      <x:c r="P39" t="n">
        <x:f>G39</x:f>
        <x:v>46943</x:v>
      </x:c>
    </x:row>
    <x:row r="40">
      <x:c r="A40" s="10" t="str">
        <x:f>'月度KPI'!B29</x:f>
        <x:v>2024-04</x:v>
      </x:c>
      <x:c r="B40" s="53" t="n">
        <x:f>'月度KPI'!E29</x:f>
        <x:v>1213115</x:v>
      </x:c>
      <x:c r="C40" s="53" t="n">
        <x:f>'月度KPI'!F29</x:f>
        <x:v>371720.73</x:v>
      </x:c>
      <x:c r="D40" s="54" t="n">
        <x:f>'月度KPI'!J29</x:f>
        <x:v>1</x:v>
      </x:c>
      <x:c r="E40" s="54" t="n">
        <x:f>'月度KPI'!K29</x:f>
        <x:v>0.875</x:v>
      </x:c>
      <x:c r="F40" s="54" t="n">
        <x:f>'月度KPI'!M29</x:f>
        <x:v>0.4963</x:v>
      </x:c>
      <x:c r="G40" s="53" t="n">
        <x:f>'月度KPI'!O29</x:f>
        <x:v>43597</x:v>
      </x:c>
      <x:c r="O40" t="str">
        <x:f>A40</x:f>
        <x:v>2024-04</x:v>
      </x:c>
      <x:c r="P40" t="n">
        <x:f>G40</x:f>
        <x:v>43597</x:v>
      </x:c>
    </x:row>
    <x:row r="41">
      <x:c r="A41" s="10" t="str">
        <x:f>'月度KPI'!B30</x:f>
        <x:v>2024-05</x:v>
      </x:c>
      <x:c r="B41" s="53" t="n">
        <x:f>'月度KPI'!E30</x:f>
        <x:v>1454005</x:v>
      </x:c>
      <x:c r="C41" s="53" t="n">
        <x:f>'月度KPI'!F30</x:f>
        <x:v>446532.41</x:v>
      </x:c>
      <x:c r="D41" s="54" t="n">
        <x:f>'月度KPI'!J30</x:f>
        <x:v>1</x:v>
      </x:c>
      <x:c r="E41" s="54" t="n">
        <x:f>'月度KPI'!K30</x:f>
        <x:v>1</x:v>
      </x:c>
      <x:c r="F41" s="54" t="n">
        <x:f>'月度KPI'!M30</x:f>
        <x:v>0.5963</x:v>
      </x:c>
      <x:c r="G41" s="53" t="n">
        <x:f>'月度KPI'!O30</x:f>
        <x:v>213615</x:v>
      </x:c>
      <x:c r="O41" t="str">
        <x:f>A41</x:f>
        <x:v>2024-05</x:v>
      </x:c>
      <x:c r="P41" t="n">
        <x:f>G41</x:f>
        <x:v>213615</x:v>
      </x:c>
    </x:row>
    <x:row r="42">
      <x:c r="A42" s="10" t="str">
        <x:f>'月度KPI'!B31</x:f>
        <x:v>2024-06</x:v>
      </x:c>
      <x:c r="B42" s="53" t="n">
        <x:f>'月度KPI'!E31</x:f>
        <x:v>1832880</x:v>
      </x:c>
      <x:c r="C42" s="53" t="n">
        <x:f>'月度KPI'!F31</x:f>
        <x:v>509269.44</x:v>
      </x:c>
      <x:c r="D42" s="54" t="n">
        <x:f>'月度KPI'!J31</x:f>
        <x:v>1</x:v>
      </x:c>
      <x:c r="E42" s="54" t="n">
        <x:f>'月度KPI'!K31</x:f>
        <x:v>0.9</x:v>
      </x:c>
      <x:c r="F42" s="54" t="n">
        <x:f>'月度KPI'!M31</x:f>
        <x:v>0.7481</x:v>
      </x:c>
      <x:c r="G42" s="53" t="n">
        <x:f>'月度KPI'!O31</x:f>
        <x:v>323194</x:v>
      </x:c>
      <x:c r="O42" t="str">
        <x:f>A42</x:f>
        <x:v>2024-06</x:v>
      </x:c>
      <x:c r="P42" t="n">
        <x:f>G42</x:f>
        <x:v>323194</x:v>
      </x:c>
    </x:row>
    <x:row r="43">
      <x:c r="A43" s="10" t="str">
        <x:f>'月度KPI'!B32</x:f>
        <x:v>2024-07</x:v>
      </x:c>
      <x:c r="B43" s="53" t="n">
        <x:f>'月度KPI'!E32</x:f>
        <x:v>1266745</x:v>
      </x:c>
      <x:c r="C43" s="53" t="n">
        <x:f>'月度KPI'!F32</x:f>
        <x:v>358023.54</x:v>
      </x:c>
      <x:c r="D43" s="54" t="n">
        <x:f>'月度KPI'!J32</x:f>
        <x:v>1</x:v>
      </x:c>
      <x:c r="E43" s="54" t="n">
        <x:f>'月度KPI'!K32</x:f>
        <x:v>1</x:v>
      </x:c>
      <x:c r="F43" s="54" t="n">
        <x:f>'月度KPI'!M32</x:f>
        <x:v>0.7814</x:v>
      </x:c>
      <x:c r="G43" s="53" t="n">
        <x:f>'月度KPI'!O32</x:f>
        <x:v>485208</x:v>
      </x:c>
      <x:c r="O43" t="str">
        <x:f>A43</x:f>
        <x:v>2024-07</x:v>
      </x:c>
      <x:c r="P43" t="n">
        <x:f>G43</x:f>
        <x:v>485208</x:v>
      </x:c>
    </x:row>
    <x:row r="44">
      <x:c r="A44" s="10" t="str">
        <x:f>'月度KPI'!B33</x:f>
        <x:v>2024-08</x:v>
      </x:c>
      <x:c r="B44" s="53" t="n">
        <x:f>'月度KPI'!E33</x:f>
        <x:v>1372126</x:v>
      </x:c>
      <x:c r="C44" s="53" t="n">
        <x:f>'月度KPI'!F33</x:f>
        <x:v>388833.63</x:v>
      </x:c>
      <x:c r="D44" s="54" t="n">
        <x:f>'月度KPI'!J33</x:f>
        <x:v>1</x:v>
      </x:c>
      <x:c r="E44" s="54" t="n">
        <x:f>'月度KPI'!K33</x:f>
        <x:v>0.8333</x:v>
      </x:c>
      <x:c r="F44" s="54" t="n">
        <x:f>'月度KPI'!M33</x:f>
        <x:v>0.7271</x:v>
      </x:c>
      <x:c r="G44" s="53" t="n">
        <x:f>'月度KPI'!O33</x:f>
        <x:v>278556</x:v>
      </x:c>
      <x:c r="O44" t="str">
        <x:f>A44</x:f>
        <x:v>2024-08</x:v>
      </x:c>
      <x:c r="P44" t="n">
        <x:f>G44</x:f>
        <x:v>278556</x:v>
      </x:c>
    </x:row>
    <x:row r="45">
      <x:c r="A45" s="10" t="str">
        <x:f>'月度KPI'!B34</x:f>
        <x:v>2024-09</x:v>
      </x:c>
      <x:c r="B45" s="53" t="n">
        <x:f>'月度KPI'!E34</x:f>
        <x:v>1648629</x:v>
      </x:c>
      <x:c r="C45" s="53" t="n">
        <x:f>'月度KPI'!F34</x:f>
        <x:v>523206.5</x:v>
      </x:c>
      <x:c r="D45" s="54" t="n">
        <x:f>'月度KPI'!J34</x:f>
        <x:v>1</x:v>
      </x:c>
      <x:c r="E45" s="54" t="n">
        <x:f>'月度KPI'!K34</x:f>
        <x:v>1</x:v>
      </x:c>
      <x:c r="F45" s="54" t="n">
        <x:f>'月度KPI'!M34</x:f>
        <x:v>0.8657</x:v>
      </x:c>
      <x:c r="G45" s="53" t="n">
        <x:f>'月度KPI'!O34</x:f>
        <x:v>100365</x:v>
      </x:c>
      <x:c r="O45" t="str">
        <x:f>A45</x:f>
        <x:v>2024-09</x:v>
      </x:c>
      <x:c r="P45" t="n">
        <x:f>G45</x:f>
        <x:v>100365</x:v>
      </x:c>
    </x:row>
    <x:row r="46">
      <x:c r="A46" s="10" t="str">
        <x:f>'月度KPI'!B35</x:f>
        <x:v>2024-10</x:v>
      </x:c>
      <x:c r="B46" s="53" t="n">
        <x:f>'月度KPI'!E35</x:f>
        <x:v>1059989</x:v>
      </x:c>
      <x:c r="C46" s="53" t="n">
        <x:f>'月度KPI'!F35</x:f>
        <x:v>292925.97</x:v>
      </x:c>
      <x:c r="D46" s="54" t="n">
        <x:f>'月度KPI'!J35</x:f>
        <x:v>1</x:v>
      </x:c>
      <x:c r="E46" s="54" t="n">
        <x:f>'月度KPI'!K35</x:f>
        <x:v>1</x:v>
      </x:c>
      <x:c r="F46" s="54" t="n">
        <x:f>'月度KPI'!M35</x:f>
        <x:v>0.5158</x:v>
      </x:c>
      <x:c r="G46" s="53" t="n">
        <x:f>'月度KPI'!O35</x:f>
        <x:v>149037</x:v>
      </x:c>
      <x:c r="O46" t="str">
        <x:f>A46</x:f>
        <x:v>2024-10</x:v>
      </x:c>
      <x:c r="P46" t="n">
        <x:f>G46</x:f>
        <x:v>149037</x:v>
      </x:c>
    </x:row>
    <x:row r="47">
      <x:c r="A47" s="10" t="str">
        <x:f>'月度KPI'!B36</x:f>
        <x:v>2024-11</x:v>
      </x:c>
      <x:c r="B47" s="53" t="n">
        <x:f>'月度KPI'!E36</x:f>
        <x:v>1140225</x:v>
      </x:c>
      <x:c r="C47" s="53" t="n">
        <x:f>'月度KPI'!F36</x:f>
        <x:v>342849.57</x:v>
      </x:c>
      <x:c r="D47" s="54" t="n">
        <x:f>'月度KPI'!J36</x:f>
        <x:v>1</x:v>
      </x:c>
      <x:c r="E47" s="54" t="n">
        <x:f>'月度KPI'!K36</x:f>
        <x:v>0.8</x:v>
      </x:c>
      <x:c r="F47" s="54" t="n">
        <x:f>'月度KPI'!M36</x:f>
        <x:v>0.5553</x:v>
      </x:c>
      <x:c r="G47" s="53" t="n">
        <x:f>'月度KPI'!O36</x:f>
        <x:v>210019</x:v>
      </x:c>
      <x:c r="O47" t="str">
        <x:f>A47</x:f>
        <x:v>2024-11</x:v>
      </x:c>
      <x:c r="P47" t="n">
        <x:f>G47</x:f>
        <x:v>210019</x:v>
      </x:c>
    </x:row>
    <x:row r="48">
      <x:c r="A48" s="10" t="str">
        <x:f>'月度KPI'!B37</x:f>
        <x:v>2024-12</x:v>
      </x:c>
      <x:c r="B48" s="53" t="n">
        <x:f>'月度KPI'!E37</x:f>
        <x:v>1474786</x:v>
      </x:c>
      <x:c r="C48" s="53" t="n">
        <x:f>'月度KPI'!F37</x:f>
        <x:v>413365.52</x:v>
      </x:c>
      <x:c r="D48" s="54" t="n">
        <x:f>'月度KPI'!J37</x:f>
        <x:v>1</x:v>
      </x:c>
      <x:c r="E48" s="54" t="n">
        <x:f>'月度KPI'!K37</x:f>
        <x:v>0.8462</x:v>
      </x:c>
      <x:c r="F48" s="54" t="n">
        <x:f>'月度KPI'!M37</x:f>
        <x:v>0.7171</x:v>
      </x:c>
      <x:c r="G48" s="53" t="n">
        <x:f>'月度KPI'!O37</x:f>
        <x:v>337720</x:v>
      </x:c>
      <x:c r="O48" t="str">
        <x:f>A48</x:f>
        <x:v>2024-12</x:v>
      </x:c>
      <x:c r="P48" t="n">
        <x:f>G48</x:f>
        <x:v>337720</x:v>
      </x:c>
    </x:row>
    <x:row r="49">
      <x:c r="A49" s="10" t="str">
        <x:f>'月度KPI'!B38</x:f>
        <x:v>2025-01</x:v>
      </x:c>
      <x:c r="B49" s="53" t="n">
        <x:f>'月度KPI'!E38</x:f>
        <x:v>1547692</x:v>
      </x:c>
      <x:c r="C49" s="53" t="n">
        <x:f>'月度KPI'!F38</x:f>
        <x:v>431567.76</x:v>
      </x:c>
      <x:c r="D49" s="54" t="n">
        <x:f>'月度KPI'!J38</x:f>
        <x:v>1</x:v>
      </x:c>
      <x:c r="E49" s="54" t="n">
        <x:f>'月度KPI'!K38</x:f>
        <x:v>0.8462</x:v>
      </x:c>
      <x:c r="F49" s="54" t="n">
        <x:f>'月度KPI'!M38</x:f>
        <x:v>0.9186</x:v>
      </x:c>
      <x:c r="G49" s="53" t="n">
        <x:f>'月度KPI'!O38</x:f>
        <x:v>290109</x:v>
      </x:c>
      <x:c r="O49" t="str">
        <x:f>A49</x:f>
        <x:v>2025-01</x:v>
      </x:c>
      <x:c r="P49" t="n">
        <x:f>G49</x:f>
        <x:v>290109</x:v>
      </x:c>
    </x:row>
    <x:row r="50">
      <x:c r="A50" s="10" t="str">
        <x:f>'月度KPI'!B39</x:f>
        <x:v>2025-02</x:v>
      </x:c>
      <x:c r="B50" s="53" t="n">
        <x:f>'月度KPI'!E39</x:f>
        <x:v>1791381</x:v>
      </x:c>
      <x:c r="C50" s="53" t="n">
        <x:f>'月度KPI'!F39</x:f>
        <x:v>469814.14</x:v>
      </x:c>
      <x:c r="D50" s="54" t="n">
        <x:f>'月度KPI'!J39</x:f>
        <x:v>1</x:v>
      </x:c>
      <x:c r="E50" s="54" t="n">
        <x:f>'月度KPI'!K39</x:f>
        <x:v>0.9375</x:v>
      </x:c>
      <x:c r="F50" s="54" t="n">
        <x:f>'月度KPI'!M39</x:f>
        <x:v>0.9443</x:v>
      </x:c>
      <x:c r="G50" s="53" t="n">
        <x:f>'月度KPI'!O39</x:f>
        <x:v>79415</x:v>
      </x:c>
      <x:c r="O50" t="str">
        <x:f>A50</x:f>
        <x:v>2025-02</x:v>
      </x:c>
      <x:c r="P50" t="n">
        <x:f>G50</x:f>
        <x:v>79415</x:v>
      </x:c>
    </x:row>
    <x:row r="51">
      <x:c r="A51" s="10" t="str">
        <x:f>'月度KPI'!B40</x:f>
        <x:v>2025-03</x:v>
      </x:c>
      <x:c r="B51" s="53" t="n">
        <x:f>'月度KPI'!E40</x:f>
        <x:v>2173427</x:v>
      </x:c>
      <x:c r="C51" s="53" t="n">
        <x:f>'月度KPI'!F40</x:f>
        <x:v>634132.05</x:v>
      </x:c>
      <x:c r="D51" s="54" t="n">
        <x:f>'月度KPI'!J40</x:f>
        <x:v>1</x:v>
      </x:c>
      <x:c r="E51" s="54" t="n">
        <x:f>'月度KPI'!K40</x:f>
        <x:v>0.8947</x:v>
      </x:c>
      <x:c r="F51" s="54" t="n">
        <x:f>'月度KPI'!M40</x:f>
        <x:v>0.9971</x:v>
      </x:c>
      <x:c r="G51" s="53" t="n">
        <x:f>'月度KPI'!O40</x:f>
        <x:v>3223</x:v>
      </x:c>
      <x:c r="O51" t="str">
        <x:f>A51</x:f>
        <x:v>2025-03</x:v>
      </x:c>
      <x:c r="P51" t="n">
        <x:f>G51</x:f>
        <x:v>3223</x:v>
      </x:c>
    </x:row>
    <x:row r="52">
      <x:c r="A52" s="10" t="str">
        <x:f>'月度KPI'!B41</x:f>
        <x:v>2025-04</x:v>
      </x:c>
      <x:c r="B52" s="53" t="n">
        <x:f>'月度KPI'!E41</x:f>
        <x:v>2382019</x:v>
      </x:c>
      <x:c r="C52" s="53" t="n">
        <x:f>'月度KPI'!F41</x:f>
        <x:v>674518.56</x:v>
      </x:c>
      <x:c r="D52" s="54" t="n">
        <x:f>'月度KPI'!J41</x:f>
        <x:v>1</x:v>
      </x:c>
      <x:c r="E52" s="54" t="n">
        <x:f>'月度KPI'!K41</x:f>
        <x:v>0.9524</x:v>
      </x:c>
      <x:c r="F52" s="54" t="n">
        <x:f>'月度KPI'!M41</x:f>
        <x:v>0.9296</x:v>
      </x:c>
      <x:c r="G52" s="53" t="n">
        <x:f>'月度KPI'!O41</x:f>
        <x:v>201359</x:v>
      </x:c>
      <x:c r="O52" t="str">
        <x:f>A52</x:f>
        <x:v>2025-04</x:v>
      </x:c>
      <x:c r="P52" t="n">
        <x:f>G52</x:f>
        <x:v>201359</x:v>
      </x:c>
    </x:row>
    <x:row r="53">
      <x:c r="A53" s="10" t="str">
        <x:f>'月度KPI'!B42</x:f>
        <x:v>2025-05</x:v>
      </x:c>
      <x:c r="B53" s="53" t="n">
        <x:f>'月度KPI'!E42</x:f>
        <x:v>2161941</x:v>
      </x:c>
      <x:c r="C53" s="53" t="n">
        <x:f>'月度KPI'!F42</x:f>
        <x:v>523277.54</x:v>
      </x:c>
      <x:c r="D53" s="54" t="n">
        <x:f>'月度KPI'!J42</x:f>
        <x:v>1</x:v>
      </x:c>
      <x:c r="E53" s="54" t="n">
        <x:f>'月度KPI'!K42</x:f>
        <x:v>0.9474</x:v>
      </x:c>
      <x:c r="F53" s="54" t="n">
        <x:f>'月度KPI'!M42</x:f>
        <x:v>0.8143</x:v>
      </x:c>
      <x:c r="G53" s="53" t="n">
        <x:f>'月度KPI'!O42</x:f>
        <x:v>25548</x:v>
      </x:c>
      <x:c r="O53" t="str">
        <x:f>A53</x:f>
        <x:v>2025-05</x:v>
      </x:c>
      <x:c r="P53" t="n">
        <x:f>G53</x:f>
        <x:v>25548</x:v>
      </x:c>
    </x:row>
    <x:row r="54">
      <x:c r="A54" s="10" t="str">
        <x:f>'月度KPI'!B43</x:f>
        <x:v>2025-06</x:v>
      </x:c>
      <x:c r="B54" s="53" t="n">
        <x:f>'月度KPI'!E43</x:f>
        <x:v>2806040</x:v>
      </x:c>
      <x:c r="C54" s="53" t="n">
        <x:f>'月度KPI'!F43</x:f>
        <x:v>773372.15</x:v>
      </x:c>
      <x:c r="D54" s="54" t="n">
        <x:f>'月度KPI'!J43</x:f>
        <x:v>1</x:v>
      </x:c>
      <x:c r="E54" s="54" t="n">
        <x:f>'月度KPI'!K43</x:f>
        <x:v>0.9583</x:v>
      </x:c>
      <x:c r="F54" s="54" t="n">
        <x:f>'月度KPI'!M43</x:f>
        <x:v>0.998</x:v>
      </x:c>
      <x:c r="G54" s="53" t="n">
        <x:f>'月度KPI'!O43</x:f>
        <x:v>353274</x:v>
      </x:c>
      <x:c r="O54" t="str">
        <x:f>A54</x:f>
        <x:v>2025-06</x:v>
      </x:c>
      <x:c r="P54" t="n">
        <x:f>G54</x:f>
        <x:v>353274</x:v>
      </x:c>
    </x:row>
    <x:row r="57" ht="45" customHeight="1">
      <x:c r="A57" s="23" t="str">
        <x:v>结论：销售规模持续放大且数量履约完整；Q13产能处于高负荷、准时率阶段性下降，但库存未形成全面缺货。更显著的风险来自采购、固定资产投入、利息和还本集中造成的现金缓冲过薄。</x:v>
      </x:c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</x:row>
  </x:sheetData>
  <x:mergeCells>
    <x:mergeCell ref="A1:N1"/>
    <x:mergeCell ref="A2:N2"/>
    <x:mergeCell ref="A4:N4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K6:L6"/>
    <x:mergeCell ref="K7:L9"/>
    <x:mergeCell ref="M6:N6"/>
    <x:mergeCell ref="M7:N9"/>
    <x:mergeCell ref="A57:N57"/>
  </x:mergeCells>
  <x:pageMargins left="0.7" right="0.7" top="0.75" bottom="0.75" header="0.3" footer="0.3"/>
  <x:drawing xmlns:r="http://schemas.openxmlformats.org/officeDocument/2006/relationships" r:id="R62c5306c87d942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13" t="str">
        <x:v>产品与渠道分析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25" customHeight="1">
      <x:c r="A2" s="18" t="str">
        <x:v>用 SUMIFS / COUNTIFS 从订单明细动态汇总SKU、渠道与区域贡献；所有汇总可追溯到订单行。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24" customHeight="1">
      <x:c r="A4" s="6" t="str">
        <x:v>SKU</x:v>
      </x:c>
      <x:c r="B4" s="6" t="str">
        <x:v>产品名称</x:v>
      </x:c>
      <x:c r="C4" s="6" t="str">
        <x:v>销售额</x:v>
      </x:c>
      <x:c r="D4" s="6" t="str">
        <x:v>销量</x:v>
      </x:c>
      <x:c r="E4" s="6" t="str">
        <x:v>毛利额</x:v>
      </x:c>
      <x:c r="F4" s="6" t="str">
        <x:v>毛利率</x:v>
      </x:c>
      <x:c r="M4" t="str">
        <x:v>SKU</x:v>
      </x:c>
      <x:c r="N4" t="str">
        <x:v>销售额</x:v>
      </x:c>
    </x:row>
    <x:row r="5">
      <x:c r="A5" s="10" t="str">
        <x:v>L1</x:v>
      </x:c>
      <x:c r="B5" s="10" t="str">
        <x:f>XLOOKUP(A5,'产品维表'!$B$2:$B$5,'产品维表'!$C$2:$C$5,"未映射")</x:f>
        <x:v>N-Lite</x:v>
      </x:c>
      <x:c r="C5" s="53" t="n">
        <x:f>SUMIFS('订单明细'!$N$2:$N$328,'订单明细'!$X$2:$X$328,$A5)</x:f>
        <x:v>16165103</x:v>
      </x:c>
      <x:c r="D5" s="53" t="n">
        <x:f>SUMIFS('订单明细'!$I$2:$I$328,'订单明细'!$X$2:$X$328,$A5)</x:f>
        <x:v>5850</x:v>
      </x:c>
      <x:c r="E5" s="53" t="n">
        <x:f>SUMIFS('订单明细'!$Q$2:$Q$328,'订单明细'!$X$2:$X$328,$A5)</x:f>
        <x:v>5431327.87</x:v>
      </x:c>
      <x:c r="F5" s="54" t="n">
        <x:f>IFERROR(E5/C5,0)</x:f>
        <x:v>0.335990922544694</x:v>
      </x:c>
      <x:c r="M5" t="str">
        <x:f>A5</x:f>
        <x:v>L1</x:v>
      </x:c>
      <x:c r="N5" t="n">
        <x:f>C5</x:f>
        <x:v>16165103</x:v>
      </x:c>
    </x:row>
    <x:row r="6">
      <x:c r="A6" s="10" t="str">
        <x:v>L2</x:v>
      </x:c>
      <x:c r="B6" s="10" t="str">
        <x:f>XLOOKUP(A6,'产品维表'!$B$2:$B$5,'产品维表'!$C$2:$C$5,"未映射")</x:f>
        <x:v>N-Plus</x:v>
      </x:c>
      <x:c r="C6" s="53" t="n">
        <x:f>SUMIFS('订单明细'!$N$2:$N$328,'订单明细'!$X$2:$X$328,$A6)</x:f>
        <x:v>10783097</x:v>
      </x:c>
      <x:c r="D6" s="53" t="n">
        <x:f>SUMIFS('订单明细'!$I$2:$I$328,'订单明细'!$X$2:$X$328,$A6)</x:f>
        <x:v>3945</x:v>
      </x:c>
      <x:c r="E6" s="53" t="n">
        <x:f>SUMIFS('订单明细'!$Q$2:$Q$328,'订单明细'!$X$2:$X$328,$A6)</x:f>
        <x:v>2161945.3499999996</x:v>
      </x:c>
      <x:c r="F6" s="54" t="n">
        <x:f>IFERROR(E6/C6,0)</x:f>
        <x:v>0.2004939165436423</x:v>
      </x:c>
      <x:c r="M6" t="str">
        <x:f>A6</x:f>
        <x:v>L2</x:v>
      </x:c>
      <x:c r="N6" t="n">
        <x:f>C6</x:f>
        <x:v>10783097</x:v>
      </x:c>
    </x:row>
    <x:row r="7">
      <x:c r="A7" s="10" t="str">
        <x:v>H1</x:v>
      </x:c>
      <x:c r="B7" s="10" t="str">
        <x:f>XLOOKUP(A7,'产品维表'!$B$2:$B$5,'产品维表'!$C$2:$C$5,"未映射")</x:f>
        <x:v>N-Pro</x:v>
      </x:c>
      <x:c r="C7" s="53" t="n">
        <x:f>SUMIFS('订单明细'!$N$2:$N$328,'订单明细'!$X$2:$X$328,$A7)</x:f>
        <x:v>4300063</x:v>
      </x:c>
      <x:c r="D7" s="53" t="n">
        <x:f>SUMIFS('订单明细'!$I$2:$I$328,'订单明细'!$X$2:$X$328,$A7)</x:f>
        <x:v>937</x:v>
      </x:c>
      <x:c r="E7" s="53" t="n">
        <x:f>SUMIFS('订单明细'!$Q$2:$Q$328,'订单明细'!$X$2:$X$328,$A7)</x:f>
        <x:v>1323847.6899999997</x:v>
      </x:c>
      <x:c r="F7" s="54" t="n">
        <x:f>IFERROR(E7/C7,0)</x:f>
        <x:v>0.30786704520375624</x:v>
      </x:c>
      <x:c r="M7" t="str">
        <x:f>A7</x:f>
        <x:v>H1</x:v>
      </x:c>
      <x:c r="N7" t="n">
        <x:f>C7</x:f>
        <x:v>4300063</x:v>
      </x:c>
    </x:row>
    <x:row r="8">
      <x:c r="A8" s="10" t="str">
        <x:v>H2</x:v>
      </x:c>
      <x:c r="B8" s="10" t="str">
        <x:f>XLOOKUP(A8,'产品维表'!$B$2:$B$5,'产品维表'!$C$2:$C$5,"未映射")</x:f>
        <x:v>N-Ultra</x:v>
      </x:c>
      <x:c r="C8" s="53" t="n">
        <x:f>SUMIFS('订单明细'!$N$2:$N$328,'订单明细'!$X$2:$X$328,$A8)</x:f>
        <x:v>1621937</x:v>
      </x:c>
      <x:c r="D8" s="53" t="n">
        <x:f>SUMIFS('订单明细'!$I$2:$I$328,'订单明细'!$X$2:$X$328,$A8)</x:f>
        <x:v>352</x:v>
      </x:c>
      <x:c r="E8" s="53" t="n">
        <x:f>SUMIFS('订单明细'!$Q$2:$Q$328,'订单明细'!$X$2:$X$328,$A8)</x:f>
        <x:v>362796.07</x:v>
      </x:c>
      <x:c r="F8" s="54" t="n">
        <x:f>IFERROR(E8/C8,0)</x:f>
        <x:v>0.22368074099055635</x:v>
      </x:c>
      <x:c r="M8" t="str">
        <x:f>A8</x:f>
        <x:v>H2</x:v>
      </x:c>
      <x:c r="N8" t="n">
        <x:f>C8</x:f>
        <x:v>1621937</x:v>
      </x:c>
    </x:row>
    <x:row r="11" ht="24" customHeight="1">
      <x:c r="A11" s="6" t="str">
        <x:v>渠道</x:v>
      </x:c>
      <x:c r="B11" s="6" t="str">
        <x:v>销售额</x:v>
      </x:c>
      <x:c r="C11" s="6" t="str">
        <x:v>订单数</x:v>
      </x:c>
      <x:c r="D11" s="6" t="str">
        <x:v>准时订单率</x:v>
      </x:c>
    </x:row>
    <x:row r="12">
      <x:c r="A12" s="10" t="str">
        <x:v>线上直营</x:v>
      </x:c>
      <x:c r="B12" s="53" t="n">
        <x:f>SUMIFS('订单明细'!$N$2:$N$328,'订单明细'!$Y$2:$Y$328,$A12)</x:f>
        <x:v>9048384</x:v>
      </x:c>
      <x:c r="C12" s="10" t="n">
        <x:f>COUNTIFS('订单明细'!$Y$2:$Y$328,$A12)</x:f>
        <x:v>92</x:v>
      </x:c>
      <x:c r="D12" s="54" t="n">
        <x:f>IFERROR(SUMIFS('订单明细'!$S$2:$S$328,'订单明细'!$Y$2:$Y$328,$A12)/C12,0)</x:f>
        <x:v>0.9239130434782609</x:v>
      </x:c>
    </x:row>
    <x:row r="13">
      <x:c r="A13" s="10" t="str">
        <x:v>线下零售</x:v>
      </x:c>
      <x:c r="B13" s="53" t="n">
        <x:f>SUMIFS('订单明细'!$N$2:$N$328,'订单明细'!$Y$2:$Y$328,$A13)</x:f>
        <x:v>7620682</x:v>
      </x:c>
      <x:c r="C13" s="10" t="n">
        <x:f>COUNTIFS('订单明细'!$Y$2:$Y$328,$A13)</x:f>
        <x:v>76</x:v>
      </x:c>
      <x:c r="D13" s="54" t="n">
        <x:f>IFERROR(SUMIFS('订单明细'!$S$2:$S$328,'订单明细'!$Y$2:$Y$328,$A13)/C13,0)</x:f>
        <x:v>0.9342105263157895</x:v>
      </x:c>
    </x:row>
    <x:row r="14">
      <x:c r="A14" s="10" t="str">
        <x:v>区域经销</x:v>
      </x:c>
      <x:c r="B14" s="53" t="n">
        <x:f>SUMIFS('订单明细'!$N$2:$N$328,'订单明细'!$Y$2:$Y$328,$A14)</x:f>
        <x:v>16201134</x:v>
      </x:c>
      <x:c r="C14" s="10" t="n">
        <x:f>COUNTIFS('订单明细'!$Y$2:$Y$328,$A14)</x:f>
        <x:v>159</x:v>
      </x:c>
      <x:c r="D14" s="54" t="n">
        <x:f>IFERROR(SUMIFS('订单明细'!$S$2:$S$328,'订单明细'!$Y$2:$Y$328,$A14)/C14,0)</x:f>
        <x:v>0.9119496855345912</x:v>
      </x:c>
    </x:row>
    <x:row r="17" ht="24" customHeight="1">
      <x:c r="A17" s="6" t="str">
        <x:v>区域</x:v>
      </x:c>
      <x:c r="B17" s="6" t="str">
        <x:v>销售额</x:v>
      </x:c>
      <x:c r="C17" s="6" t="str">
        <x:v>销售占比</x:v>
      </x:c>
      <x:c r="D17" s="6" t="str">
        <x:v>准时订单率</x:v>
      </x:c>
    </x:row>
    <x:row r="18">
      <x:c r="A18" s="10" t="str">
        <x:v>华东</x:v>
      </x:c>
      <x:c r="B18" s="53" t="n">
        <x:f>SUMIFS('订单明细'!$N$2:$N$328,'订单明细'!$Z$2:$Z$328,$A18)</x:f>
        <x:v>11218369</x:v>
      </x:c>
      <x:c r="C18" s="54" t="n">
        <x:f>B18/SUM($B$18:$B$21)</x:f>
        <x:v>0.341292994870734</x:v>
      </x:c>
      <x:c r="D18" s="54" t="n">
        <x:f>IFERROR(SUMIFS('订单明细'!$S$2:$S$328,'订单明细'!$Z$2:$Z$328,$A18)/COUNTIFS('订单明细'!$Z$2:$Z$328,$A18),0)</x:f>
        <x:v>0.9245283018867925</x:v>
      </x:c>
    </x:row>
    <x:row r="19">
      <x:c r="A19" s="10" t="str">
        <x:v>华南</x:v>
      </x:c>
      <x:c r="B19" s="53" t="n">
        <x:f>SUMIFS('订单明细'!$N$2:$N$328,'订单明细'!$Z$2:$Z$328,$A19)</x:f>
        <x:v>9231580</x:v>
      </x:c>
      <x:c r="C19" s="54" t="n">
        <x:f>B19/SUM($B$18:$B$21)</x:f>
        <x:v>0.28084952327640234</x:v>
      </x:c>
      <x:c r="D19" s="54" t="n">
        <x:f>IFERROR(SUMIFS('订单明细'!$S$2:$S$328,'订单明细'!$Z$2:$Z$328,$A19)/COUNTIFS('订单明细'!$Z$2:$Z$328,$A19),0)</x:f>
        <x:v>0.9347826086956522</x:v>
      </x:c>
    </x:row>
    <x:row r="20">
      <x:c r="A20" s="10" t="str">
        <x:v>华北</x:v>
      </x:c>
      <x:c r="B20" s="53" t="n">
        <x:f>SUMIFS('订单明细'!$N$2:$N$328,'订单明细'!$Z$2:$Z$328,$A20)</x:f>
        <x:v>7540023</x:v>
      </x:c>
      <x:c r="C20" s="54" t="n">
        <x:f>B20/SUM($B$18:$B$21)</x:f>
        <x:v>0.22938780415087223</x:v>
      </x:c>
      <x:c r="D20" s="54" t="n">
        <x:f>IFERROR(SUMIFS('订单明细'!$S$2:$S$328,'订单明细'!$Z$2:$Z$328,$A20)/COUNTIFS('订单明细'!$Z$2:$Z$328,$A20),0)</x:f>
        <x:v>0.9459459459459459</x:v>
      </x:c>
    </x:row>
    <x:row r="21">
      <x:c r="A21" s="10" t="str">
        <x:v>中西部</x:v>
      </x:c>
      <x:c r="B21" s="53" t="n">
        <x:f>SUMIFS('订单明细'!$N$2:$N$328,'订单明细'!$Z$2:$Z$328,$A21)</x:f>
        <x:v>4880228</x:v>
      </x:c>
      <x:c r="C21" s="54" t="n">
        <x:f>B21/SUM($B$18:$B$21)</x:f>
        <x:v>0.14846967770199146</x:v>
      </x:c>
      <x:c r="D21" s="54" t="n">
        <x:f>IFERROR(SUMIFS('订单明细'!$S$2:$S$328,'订单明细'!$Z$2:$Z$328,$A21)/COUNTIFS('订单明细'!$Z$2:$Z$328,$A21),0)</x:f>
        <x:v>0.8545454545454545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0e18fb0e54e4ae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  <x:col min="9" max="9" width="15" hidden="0" customWidth="1"/>
    <x:col min="10" max="10" width="15" hidden="0" customWidth="1"/>
  </x:cols>
  <x:sheetData>
    <x:row r="1" ht="32" customHeight="1">
      <x:c r="A1" s="13" t="str">
        <x:v>库存与产能预警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25" customHeight="1">
      <x:c r="A2" s="18" t="str">
        <x:v>选择经营季度后，按SKU查看期末库存、覆盖天数、产能利用率与预警状态。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56" t="str">
        <x:v>选择季度</x:v>
      </x:c>
      <x:c r="B3" s="56" t="n">
        <x:v>13</x:v>
      </x:c>
    </x:row>
    <x:row r="6" ht="24" customHeight="1">
      <x:c r="A6" s="6" t="str">
        <x:v>SKU</x:v>
      </x:c>
      <x:c r="B6" s="6" t="str">
        <x:v>期末库存</x:v>
      </x:c>
      <x:c r="C6" s="6" t="str">
        <x:v>季度需求</x:v>
      </x:c>
      <x:c r="D6" s="6" t="str">
        <x:v>平均覆盖天数</x:v>
      </x:c>
      <x:c r="E6" s="6" t="str">
        <x:v>缺货量</x:v>
      </x:c>
      <x:c r="F6" s="6" t="str">
        <x:v>产能利用率</x:v>
      </x:c>
      <x:c r="G6" s="6" t="str">
        <x:v>库存状态</x:v>
      </x:c>
      <x:c r="H6" s="6" t="str">
        <x:v>行动建议</x:v>
      </x:c>
    </x:row>
    <x:row r="7">
      <x:c r="A7" s="10" t="str">
        <x:v>L1</x:v>
      </x:c>
      <x:c r="B7" s="53" t="n">
        <x:f>SUMIFS('库存明细'!$G$2:$G$169,'库存明细'!$N$2:$N$169,$A7,'库存明细'!$M$2:$M$169,$B$3)</x:f>
        <x:v>283</x:v>
      </x:c>
      <x:c r="C7" s="53" t="n">
        <x:f>SUMIFS('库存明细'!$E$2:$E$169,'库存明细'!$N$2:$N$169,$A7,'库存明细'!$M$2:$M$169,$B$3)</x:f>
        <x:v>1120</x:v>
      </x:c>
      <x:c r="D7" s="57" t="n">
        <x:f>IFERROR(AVERAGEIFS('库存明细'!$K$2:$K$169,'库存明细'!$N$2:$N$169,$A7,'库存明细'!$M$2:$M$169,$B$3),0)</x:f>
        <x:v>8.233333333333333</x:v>
      </x:c>
      <x:c r="E7" s="53" t="n">
        <x:f>SUMIFS('库存明细'!$H$2:$H$169,'库存明细'!$N$2:$N$169,$A7,'库存明细'!$M$2:$M$169,$B$3)</x:f>
        <x:v>0</x:v>
      </x:c>
      <x:c r="F7" s="54" t="n">
        <x:f>IFERROR(SUMIFS('生产明细'!$D$2:$D$169,'生产明细'!$K$2:$K$169,$A7,'生产明细'!$J$2:$J$169,$B$3)/SUMIFS('生产明细'!$F$2:$F$169,'生产明细'!$K$2:$K$169,$A7,'生产明细'!$J$2:$J$169,$B$3),0)</x:f>
        <x:v>0.9438687392055267</x:v>
      </x:c>
      <x:c r="G7" s="10" t="str">
        <x:f>IF(E7&gt;0,"缺货",IF(D7&lt;8,"偏低",IF(D7&gt;45,"偏高","健康")))</x:f>
        <x:v>健康</x:v>
      </x:c>
      <x:c r="H7" s="10" t="str">
        <x:f>IF(G7="缺货","优先补产并检查SKU分配",IF(F7&gt;=90%,"安排加班/外协并锁定物料",IF(G7="偏高","减少补货，优先消化库存","维持滚动计划")))</x:f>
        <x:v>安排加班/外协并锁定物料</x:v>
      </x:c>
    </x:row>
    <x:row r="8">
      <x:c r="A8" s="10" t="str">
        <x:v>L2</x:v>
      </x:c>
      <x:c r="B8" s="53" t="n">
        <x:f>SUMIFS('库存明细'!$G$2:$G$169,'库存明细'!$N$2:$N$169,$A8,'库存明细'!$M$2:$M$169,$B$3)</x:f>
        <x:v>301</x:v>
      </x:c>
      <x:c r="C8" s="53" t="n">
        <x:f>SUMIFS('库存明细'!$E$2:$E$169,'库存明细'!$N$2:$N$169,$A8,'库存明细'!$M$2:$M$169,$B$3)</x:f>
        <x:v>884</x:v>
      </x:c>
      <x:c r="D8" s="57" t="n">
        <x:f>IFERROR(AVERAGEIFS('库存明细'!$K$2:$K$169,'库存明细'!$N$2:$N$169,$A8,'库存明细'!$M$2:$M$169,$B$3),0)</x:f>
        <x:v>10.5</x:v>
      </x:c>
      <x:c r="E8" s="53" t="n">
        <x:f>SUMIFS('库存明细'!$H$2:$H$169,'库存明细'!$N$2:$N$169,$A8,'库存明细'!$M$2:$M$169,$B$3)</x:f>
        <x:v>0</x:v>
      </x:c>
      <x:c r="F8" s="54" t="n">
        <x:f>IFERROR(SUMIFS('生产明细'!$D$2:$D$169,'生产明细'!$K$2:$K$169,$A8,'生产明细'!$J$2:$J$169,$B$3)/SUMIFS('生产明细'!$F$2:$F$169,'生产明细'!$K$2:$K$169,$A8,'生产明细'!$J$2:$J$169,$B$3),0)</x:f>
        <x:v>0.9358974358974359</x:v>
      </x:c>
      <x:c r="G8" s="10" t="str">
        <x:f>IF(E8&gt;0,"缺货",IF(D8&lt;8,"偏低",IF(D8&gt;45,"偏高","健康")))</x:f>
        <x:v>健康</x:v>
      </x:c>
      <x:c r="H8" s="10" t="str">
        <x:f>IF(G8="缺货","优先补产并检查SKU分配",IF(F8&gt;=90%,"安排加班/外协并锁定物料",IF(G8="偏高","减少补货，优先消化库存","维持滚动计划")))</x:f>
        <x:v>安排加班/外协并锁定物料</x:v>
      </x:c>
    </x:row>
    <x:row r="9">
      <x:c r="A9" s="10" t="str">
        <x:v>H1</x:v>
      </x:c>
      <x:c r="B9" s="53" t="n">
        <x:f>SUMIFS('库存明细'!$G$2:$G$169,'库存明细'!$N$2:$N$169,$A9,'库存明细'!$M$2:$M$169,$B$3)</x:f>
        <x:v>195</x:v>
      </x:c>
      <x:c r="C9" s="53" t="n">
        <x:f>SUMIFS('库存明细'!$E$2:$E$169,'库存明细'!$N$2:$N$169,$A9,'库存明细'!$M$2:$M$169,$B$3)</x:f>
        <x:v>0</x:v>
      </x:c>
      <x:c r="D9" s="57" t="n">
        <x:f>IFERROR(AVERAGEIFS('库存明细'!$K$2:$K$169,'库存明细'!$N$2:$N$169,$A9,'库存明细'!$M$2:$M$169,$B$3),0)</x:f>
        <x:v>90</x:v>
      </x:c>
      <x:c r="E9" s="53" t="n">
        <x:f>SUMIFS('库存明细'!$H$2:$H$169,'库存明细'!$N$2:$N$169,$A9,'库存明细'!$M$2:$M$169,$B$3)</x:f>
        <x:v>0</x:v>
      </x:c>
      <x:c r="F9" s="54" t="n">
        <x:f>IFERROR(SUMIFS('生产明细'!$D$2:$D$169,'生产明细'!$K$2:$K$169,$A9,'生产明细'!$J$2:$J$169,$B$3)/SUMIFS('生产明细'!$F$2:$F$169,'生产明细'!$K$2:$K$169,$A9,'生产明细'!$J$2:$J$169,$B$3),0)</x:f>
        <x:v>0</x:v>
      </x:c>
      <x:c r="G9" s="10" t="str">
        <x:f>IF(E9&gt;0,"缺货",IF(D9&lt;8,"偏低",IF(D9&gt;45,"偏高","健康")))</x:f>
        <x:v>偏高</x:v>
      </x:c>
      <x:c r="H9" s="10" t="str">
        <x:f>IF(G9="缺货","优先补产并检查SKU分配",IF(F9&gt;=90%,"安排加班/外协并锁定物料",IF(G9="偏高","减少补货，优先消化库存","维持滚动计划")))</x:f>
        <x:v>减少补货，优先消化库存</x:v>
      </x:c>
    </x:row>
    <x:row r="10">
      <x:c r="A10" s="10" t="str">
        <x:v>H2</x:v>
      </x:c>
      <x:c r="B10" s="53" t="n">
        <x:f>SUMIFS('库存明细'!$G$2:$G$169,'库存明细'!$N$2:$N$169,$A10,'库存明细'!$M$2:$M$169,$B$3)</x:f>
        <x:v>195</x:v>
      </x:c>
      <x:c r="C10" s="53" t="n">
        <x:f>SUMIFS('库存明细'!$E$2:$E$169,'库存明细'!$N$2:$N$169,$A10,'库存明细'!$M$2:$M$169,$B$3)</x:f>
        <x:v>0</x:v>
      </x:c>
      <x:c r="D10" s="57" t="n">
        <x:f>IFERROR(AVERAGEIFS('库存明细'!$K$2:$K$169,'库存明细'!$N$2:$N$169,$A10,'库存明细'!$M$2:$M$169,$B$3),0)</x:f>
        <x:v>90</x:v>
      </x:c>
      <x:c r="E10" s="53" t="n">
        <x:f>SUMIFS('库存明细'!$H$2:$H$169,'库存明细'!$N$2:$N$169,$A10,'库存明细'!$M$2:$M$169,$B$3)</x:f>
        <x:v>0</x:v>
      </x:c>
      <x:c r="F10" s="54" t="n">
        <x:f>IFERROR(SUMIFS('生产明细'!$D$2:$D$169,'生产明细'!$K$2:$K$169,$A10,'生产明细'!$J$2:$J$169,$B$3)/SUMIFS('生产明细'!$F$2:$F$169,'生产明细'!$K$2:$K$169,$A10,'生产明细'!$J$2:$J$169,$B$3),0)</x:f>
        <x:v>0</x:v>
      </x:c>
      <x:c r="G10" s="10" t="str">
        <x:f>IF(E10&gt;0,"缺货",IF(D10&lt;8,"偏低",IF(D10&gt;45,"偏高","健康")))</x:f>
        <x:v>偏高</x:v>
      </x:c>
      <x:c r="H10" s="10" t="str">
        <x:f>IF(G10="缺货","优先补产并检查SKU分配",IF(F10&gt;=90%,"安排加班/外协并锁定物料",IF(G10="偏高","减少补货，优先消化库存","维持滚动计划")))</x:f>
        <x:v>减少补货，优先消化库存</x:v>
      </x:c>
    </x:row>
  </x:sheetData>
  <x:mergeCells>
    <x:mergeCell ref="A1:J1"/>
    <x:mergeCell ref="A2:J2"/>
  </x:mergeCells>
  <x:conditionalFormatting sqref="G7:G10">
    <x:cfRule type="containsText" dxfId="0" priority="1" operator="containsText" text="缺货"/>
  </x:conditionalFormatting>
  <x:conditionalFormatting sqref="F7:F10">
    <x:cfRule type="cellIs" dxfId="1" priority="2" operator="greaterThanOrEqual">
      <x:formula>0.9</x:formula>
    </x:cfRule>
  </x:conditionalFormatting>
  <x:dataValidations count="1">
    <x:dataValidation type="list" sqref="B3">
      <x:formula1>"5,6,8,9,10,11,12,13,14"</x:formula1>
    </x:dataValidation>
  </x:dataValidations>
  <x:pageMargins left="0.7" right="0.7" top="0.75" bottom="0.75" header="0.3" footer="0.3"/>
  <x:drawing xmlns:r="http://schemas.openxmlformats.org/officeDocument/2006/relationships" r:id="Re940020253e34d1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13" t="str">
        <x:v>现金流分析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25" customHeight="1">
      <x:c r="A2" s="18" t="str">
        <x:v>按经营季度动态汇总现金流入、流出、净现金流与期末现金；现金余额由 signed_amount 累计计算。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24" customHeight="1">
      <x:c r="A4" s="6" t="str">
        <x:v>季度</x:v>
      </x:c>
      <x:c r="B4" s="6" t="str">
        <x:v>现金流入</x:v>
      </x:c>
      <x:c r="C4" s="6" t="str">
        <x:v>现金流出</x:v>
      </x:c>
      <x:c r="D4" s="6" t="str">
        <x:v>净现金流</x:v>
      </x:c>
      <x:c r="E4" s="6" t="str">
        <x:v>期末现金</x:v>
      </x:c>
      <x:c r="F4" s="6" t="str">
        <x:v>风险等级</x:v>
      </x:c>
      <x:c r="H4" s="6" t="str">
        <x:v>资金用途</x:v>
      </x:c>
      <x:c r="I4" s="6" t="str">
        <x:v>累计流出</x:v>
      </x:c>
      <x:c r="M4" t="str">
        <x:v>季度</x:v>
      </x:c>
      <x:c r="N4" t="str">
        <x:v>期末现金</x:v>
      </x:c>
    </x:row>
    <x:row r="5">
      <x:c r="A5" s="10" t="n">
        <x:v>1</x:v>
      </x:c>
      <x:c r="B5" s="53" t="n">
        <x:f>SUMIFS('现金明细'!$H$2:$H$238,'现金明细'!$D$2:$D$238,$A5,'现金明细'!$E$2:$E$238,"Inflow")</x:f>
        <x:v>10000000</x:v>
      </x:c>
      <x:c r="C5" s="53" t="n">
        <x:f>SUMIFS('现金明细'!$H$2:$H$238,'现金明细'!$D$2:$D$238,$A5,'现金明细'!$E$2:$E$238,"Outflow")</x:f>
        <x:v>8256000</x:v>
      </x:c>
      <x:c r="D5" s="53" t="n">
        <x:f>B5-C5</x:f>
        <x:v>1744000</x:v>
      </x:c>
      <x:c r="E5" s="53" t="n">
        <x:f>SUM($D$5:D5)</x:f>
        <x:v>1744000</x:v>
      </x:c>
      <x:c r="F5" s="10" t="str">
        <x:f>IF(E5&lt;100000,"Critical",IF(E5&lt;300000,"Watch","Stable"))</x:f>
        <x:v>Stable</x:v>
      </x:c>
      <x:c r="H5" s="10" t="str">
        <x:v>原材料采购</x:v>
      </x:c>
      <x:c r="I5" s="53" t="n">
        <x:f>SUMIFS('现金明细'!$H$2:$H$238,'现金明细'!$G$2:$G$238,$H5,'现金明细'!$E$2:$E$238,"Outflow")</x:f>
        <x:v>21158400</x:v>
      </x:c>
      <x:c r="M5" t="n">
        <x:f>A5</x:f>
        <x:v>1</x:v>
      </x:c>
      <x:c r="N5" t="n">
        <x:f>E5</x:f>
        <x:v>1744000</x:v>
      </x:c>
    </x:row>
    <x:row r="6">
      <x:c r="A6" s="10" t="n">
        <x:v>2</x:v>
      </x:c>
      <x:c r="B6" s="53" t="n">
        <x:f>SUMIFS('现金明细'!$H$2:$H$238,'现金明细'!$D$2:$D$238,$A6,'现金明细'!$E$2:$E$238,"Inflow")</x:f>
        <x:v>5024416</x:v>
      </x:c>
      <x:c r="C6" s="53" t="n">
        <x:f>SUMIFS('现金明细'!$H$2:$H$238,'现金明细'!$D$2:$D$238,$A6,'现金明细'!$E$2:$E$238,"Outflow")</x:f>
        <x:v>6251900</x:v>
      </x:c>
      <x:c r="D6" s="53" t="n">
        <x:f>B6-C6</x:f>
        <x:v>-1227484</x:v>
      </x:c>
      <x:c r="E6" s="53" t="n">
        <x:f>SUM($D$5:D6)</x:f>
        <x:v>516516</x:v>
      </x:c>
      <x:c r="F6" s="10" t="str">
        <x:f>IF(E6&lt;100000,"Critical",IF(E6&lt;300000,"Watch","Stable"))</x:f>
        <x:v>Stable</x:v>
      </x:c>
      <x:c r="H6" s="10" t="str">
        <x:v>生产性固定资产</x:v>
      </x:c>
      <x:c r="I6" s="53" t="n">
        <x:f>SUMIFS('现金明细'!$H$2:$H$238,'现金明细'!$G$2:$G$238,$H6,'现金明细'!$E$2:$E$238,"Outflow")</x:f>
        <x:v>12314707</x:v>
      </x:c>
      <x:c r="M6" t="n">
        <x:f>A6</x:f>
        <x:v>2</x:v>
      </x:c>
      <x:c r="N6" t="n">
        <x:f>E6</x:f>
        <x:v>516516</x:v>
      </x:c>
    </x:row>
    <x:row r="7">
      <x:c r="A7" s="10" t="n">
        <x:v>3</x:v>
      </x:c>
      <x:c r="B7" s="53" t="n">
        <x:f>SUMIFS('现金明细'!$H$2:$H$238,'现金明细'!$D$2:$D$238,$A7,'现金明细'!$E$2:$E$238,"Inflow")</x:f>
        <x:v>8264</x:v>
      </x:c>
      <x:c r="C7" s="53" t="n">
        <x:f>SUMIFS('现金明细'!$H$2:$H$238,'现金明细'!$D$2:$D$238,$A7,'现金明细'!$E$2:$E$238,"Outflow")</x:f>
        <x:v>410000</x:v>
      </x:c>
      <x:c r="D7" s="53" t="n">
        <x:f>B7-C7</x:f>
        <x:v>-401736</x:v>
      </x:c>
      <x:c r="E7" s="53" t="n">
        <x:f>SUM($D$5:D7)</x:f>
        <x:v>114780</x:v>
      </x:c>
      <x:c r="F7" s="10" t="str">
        <x:f>IF(E7&lt;100000,"Critical",IF(E7&lt;300000,"Watch","Stable"))</x:f>
        <x:v>Watch</x:v>
      </x:c>
      <x:c r="H7" s="10" t="str">
        <x:v>偿还贷款本金</x:v>
      </x:c>
      <x:c r="I7" s="53" t="n">
        <x:f>SUMIFS('现金明细'!$H$2:$H$238,'现金明细'!$G$2:$G$238,$H7,'现金明细'!$E$2:$E$238,"Outflow")</x:f>
        <x:v>7200000</x:v>
      </x:c>
      <x:c r="M7" t="n">
        <x:f>A7</x:f>
        <x:v>3</x:v>
      </x:c>
      <x:c r="N7" t="n">
        <x:f>E7</x:f>
        <x:v>114780</x:v>
      </x:c>
    </x:row>
    <x:row r="8">
      <x:c r="A8" s="10" t="n">
        <x:v>4</x:v>
      </x:c>
      <x:c r="B8" s="53" t="n">
        <x:f>SUMIFS('现金明细'!$H$2:$H$238,'现金明细'!$D$2:$D$238,$A8,'现金明细'!$E$2:$E$238,"Inflow")</x:f>
        <x:v>0</x:v>
      </x:c>
      <x:c r="C8" s="53" t="n">
        <x:f>SUMIFS('现金明细'!$H$2:$H$238,'现金明细'!$D$2:$D$238,$A8,'现金明细'!$E$2:$E$238,"Outflow")</x:f>
        <x:v>0</x:v>
      </x:c>
      <x:c r="D8" s="53" t="n">
        <x:f>B8-C8</x:f>
        <x:v>0</x:v>
      </x:c>
      <x:c r="E8" s="53" t="n">
        <x:f>SUM($D$5:D8)</x:f>
        <x:v>114780</x:v>
      </x:c>
      <x:c r="F8" s="10" t="str">
        <x:f>IF(E8&lt;100000,"Critical",IF(E8&lt;300000,"Watch","Stable"))</x:f>
        <x:v>Watch</x:v>
      </x:c>
      <x:c r="H8" s="10" t="str">
        <x:v>人员成本</x:v>
      </x:c>
      <x:c r="I8" s="53" t="n">
        <x:f>SUMIFS('现金明细'!$H$2:$H$238,'现金明细'!$G$2:$G$238,$H8,'现金明细'!$E$2:$E$238,"Outflow")</x:f>
        <x:v>2288000</x:v>
      </x:c>
      <x:c r="M8" t="n">
        <x:f>A8</x:f>
        <x:v>4</x:v>
      </x:c>
      <x:c r="N8" t="n">
        <x:f>E8</x:f>
        <x:v>114780</x:v>
      </x:c>
    </x:row>
    <x:row r="9">
      <x:c r="A9" s="10" t="n">
        <x:v>5</x:v>
      </x:c>
      <x:c r="B9" s="53" t="n">
        <x:f>SUMIFS('现金明细'!$H$2:$H$238,'现金明细'!$D$2:$D$238,$A9,'现金明细'!$E$2:$E$238,"Inflow")</x:f>
        <x:v>1806172</x:v>
      </x:c>
      <x:c r="C9" s="53" t="n">
        <x:f>SUMIFS('现金明细'!$H$2:$H$238,'现金明细'!$D$2:$D$238,$A9,'现金明细'!$E$2:$E$238,"Outflow")</x:f>
        <x:v>1776207</x:v>
      </x:c>
      <x:c r="D9" s="53" t="n">
        <x:f>B9-C9</x:f>
        <x:v>29965</x:v>
      </x:c>
      <x:c r="E9" s="53" t="n">
        <x:f>SUM($D$5:D9)</x:f>
        <x:v>144745</x:v>
      </x:c>
      <x:c r="F9" s="10" t="str">
        <x:f>IF(E9&lt;100000,"Critical",IF(E9&lt;300000,"Watch","Stable"))</x:f>
        <x:v>Watch</x:v>
      </x:c>
      <x:c r="H9" s="10" t="str">
        <x:v>市场推广与首批产品</x:v>
      </x:c>
      <x:c r="I9" s="53" t="n">
        <x:f>SUMIFS('现金明细'!$H$2:$H$238,'现金明细'!$G$2:$G$238,$H9,'现金明细'!$E$2:$E$238,"Outflow")</x:f>
        <x:v>1980000</x:v>
      </x:c>
      <x:c r="M9" t="n">
        <x:f>A9</x:f>
        <x:v>5</x:v>
      </x:c>
      <x:c r="N9" t="n">
        <x:f>E9</x:f>
        <x:v>144745</x:v>
      </x:c>
    </x:row>
    <x:row r="10">
      <x:c r="A10" s="10" t="n">
        <x:v>6</x:v>
      </x:c>
      <x:c r="B10" s="53" t="n">
        <x:f>SUMIFS('现金明细'!$H$2:$H$238,'现金明细'!$D$2:$D$238,$A10,'现金明细'!$E$2:$E$238,"Inflow")</x:f>
        <x:v>3299715</x:v>
      </x:c>
      <x:c r="C10" s="53" t="n">
        <x:f>SUMIFS('现金明细'!$H$2:$H$238,'现金明细'!$D$2:$D$238,$A10,'现金明细'!$E$2:$E$238,"Outflow")</x:f>
        <x:v>3118000</x:v>
      </x:c>
      <x:c r="D10" s="53" t="n">
        <x:f>B10-C10</x:f>
        <x:v>181715</x:v>
      </x:c>
      <x:c r="E10" s="53" t="n">
        <x:f>SUM($D$5:D10)</x:f>
        <x:v>326460</x:v>
      </x:c>
      <x:c r="F10" s="10" t="str">
        <x:f>IF(E10&lt;100000,"Critical",IF(E10&lt;300000,"Watch","Stable"))</x:f>
        <x:v>Stable</x:v>
      </x:c>
      <x:c r="H10" s="10" t="str">
        <x:v>贷款利息及罚金</x:v>
      </x:c>
      <x:c r="I10" s="53" t="n">
        <x:f>SUMIFS('现金明细'!$H$2:$H$238,'现金明细'!$G$2:$G$238,$H10,'现金明细'!$E$2:$E$238,"Outflow")</x:f>
        <x:v>1956000</x:v>
      </x:c>
      <x:c r="M10" t="n">
        <x:f>A10</x:f>
        <x:v>6</x:v>
      </x:c>
      <x:c r="N10" t="n">
        <x:f>E10</x:f>
        <x:v>326460</x:v>
      </x:c>
    </x:row>
    <x:row r="11">
      <x:c r="A11" s="10" t="n">
        <x:v>7</x:v>
      </x:c>
      <x:c r="B11" s="53" t="n">
        <x:f>SUMIFS('现金明细'!$H$2:$H$238,'现金明细'!$D$2:$D$238,$A11,'现金明细'!$E$2:$E$238,"Inflow")</x:f>
        <x:v>205223</x:v>
      </x:c>
      <x:c r="C11" s="53" t="n">
        <x:f>SUMIFS('现金明细'!$H$2:$H$238,'现金明细'!$D$2:$D$238,$A11,'现金明细'!$E$2:$E$238,"Outflow")</x:f>
        <x:v>469000</x:v>
      </x:c>
      <x:c r="D11" s="53" t="n">
        <x:f>B11-C11</x:f>
        <x:v>-263777</x:v>
      </x:c>
      <x:c r="E11" s="53" t="n">
        <x:f>SUM($D$5:D11)</x:f>
        <x:v>62683</x:v>
      </x:c>
      <x:c r="F11" s="10" t="str">
        <x:f>IF(E11&lt;100000,"Critical",IF(E11&lt;300000,"Watch","Stable"))</x:f>
        <x:v>Critical</x:v>
      </x:c>
      <x:c r="H11" s="10" t="str">
        <x:v>研发投入</x:v>
      </x:c>
      <x:c r="I11" s="53" t="n">
        <x:f>SUMIFS('现金明细'!$H$2:$H$238,'现金明细'!$G$2:$G$238,$H11,'现金明细'!$E$2:$E$238,"Outflow")</x:f>
        <x:v>1600000</x:v>
      </x:c>
      <x:c r="M11" t="n">
        <x:f>A11</x:f>
        <x:v>7</x:v>
      </x:c>
      <x:c r="N11" t="n">
        <x:f>E11</x:f>
        <x:v>62683</x:v>
      </x:c>
    </x:row>
    <x:row r="12">
      <x:c r="A12" s="10" t="n">
        <x:v>8</x:v>
      </x:c>
      <x:c r="B12" s="53" t="n">
        <x:f>SUMIFS('现金明细'!$H$2:$H$238,'现金明细'!$D$2:$D$238,$A12,'现金明细'!$E$2:$E$238,"Inflow")</x:f>
        <x:v>2451002</x:v>
      </x:c>
      <x:c r="C12" s="53" t="n">
        <x:f>SUMIFS('现金明细'!$H$2:$H$238,'现金明细'!$D$2:$D$238,$A12,'现金明细'!$E$2:$E$238,"Outflow")</x:f>
        <x:v>2350650</x:v>
      </x:c>
      <x:c r="D12" s="53" t="n">
        <x:f>B12-C12</x:f>
        <x:v>100352</x:v>
      </x:c>
      <x:c r="E12" s="53" t="n">
        <x:f>SUM($D$5:D12)</x:f>
        <x:v>163035</x:v>
      </x:c>
      <x:c r="F12" s="10" t="str">
        <x:f>IF(E12&lt;100000,"Critical",IF(E12&lt;300000,"Watch","Stable"))</x:f>
        <x:v>Watch</x:v>
      </x:c>
      <x:c r="H12" s="10" t="str">
        <x:v>原材料仓储</x:v>
      </x:c>
      <x:c r="I12" s="53" t="n">
        <x:f>SUMIFS('现金明细'!$H$2:$H$238,'现金明细'!$G$2:$G$238,$H12,'现金明细'!$E$2:$E$238,"Outflow")</x:f>
        <x:v>843800</x:v>
      </x:c>
      <x:c r="M12" t="n">
        <x:f>A12</x:f>
        <x:v>8</x:v>
      </x:c>
      <x:c r="N12" t="n">
        <x:f>E12</x:f>
        <x:v>163035</x:v>
      </x:c>
    </x:row>
    <x:row r="13">
      <x:c r="A13" s="10" t="n">
        <x:v>9</x:v>
      </x:c>
      <x:c r="B13" s="53" t="n">
        <x:f>SUMIFS('现金明细'!$H$2:$H$238,'现金明细'!$D$2:$D$238,$A13,'现金明细'!$E$2:$E$238,"Inflow")</x:f>
        <x:v>1997908</x:v>
      </x:c>
      <x:c r="C13" s="53" t="n">
        <x:f>SUMIFS('现金明细'!$H$2:$H$238,'现金明细'!$D$2:$D$238,$A13,'现金明细'!$E$2:$E$238,"Outflow")</x:f>
        <x:v>2114000</x:v>
      </x:c>
      <x:c r="D13" s="53" t="n">
        <x:f>B13-C13</x:f>
        <x:v>-116092</x:v>
      </x:c>
      <x:c r="E13" s="53" t="n">
        <x:f>SUM($D$5:D13)</x:f>
        <x:v>46943</x:v>
      </x:c>
      <x:c r="F13" s="10" t="str">
        <x:f>IF(E13&lt;100000,"Critical",IF(E13&lt;300000,"Watch","Stable"))</x:f>
        <x:v>Critical</x:v>
      </x:c>
      <x:c r="H13" s="10" t="str">
        <x:v>物流运输</x:v>
      </x:c>
      <x:c r="I13" s="53" t="n">
        <x:f>SUMIFS('现金明细'!$H$2:$H$238,'现金明细'!$G$2:$G$238,$H13,'现金明细'!$E$2:$E$238,"Outflow")</x:f>
        <x:v>236500</x:v>
      </x:c>
      <x:c r="M13" t="n">
        <x:f>A13</x:f>
        <x:v>9</x:v>
      </x:c>
      <x:c r="N13" t="n">
        <x:f>E13</x:f>
        <x:v>46943</x:v>
      </x:c>
    </x:row>
    <x:row r="14">
      <x:c r="A14" s="10" t="n">
        <x:v>10</x:v>
      </x:c>
      <x:c r="B14" s="53" t="n">
        <x:f>SUMIFS('现金明细'!$H$2:$H$238,'现金明细'!$D$2:$D$238,$A14,'现金明细'!$E$2:$E$238,"Inflow")</x:f>
        <x:v>4500751</x:v>
      </x:c>
      <x:c r="C14" s="53" t="n">
        <x:f>SUMIFS('现金明细'!$H$2:$H$238,'现金明细'!$D$2:$D$238,$A14,'现金明细'!$E$2:$E$238,"Outflow")</x:f>
        <x:v>4224500</x:v>
      </x:c>
      <x:c r="D14" s="53" t="n">
        <x:f>B14-C14</x:f>
        <x:v>276251</x:v>
      </x:c>
      <x:c r="E14" s="53" t="n">
        <x:f>SUM($D$5:D14)</x:f>
        <x:v>323194</x:v>
      </x:c>
      <x:c r="F14" s="10" t="str">
        <x:f>IF(E14&lt;100000,"Critical",IF(E14&lt;300000,"Watch","Stable"))</x:f>
        <x:v>Stable</x:v>
      </x:c>
      <x:c r="H14" s="10" t="str">
        <x:v>人员调整</x:v>
      </x:c>
      <x:c r="I14" s="53" t="n">
        <x:f>SUMIFS('现金明细'!$H$2:$H$238,'现金明细'!$G$2:$G$238,$H14,'现金明细'!$E$2:$E$238,"Outflow")</x:f>
        <x:v>200000</x:v>
      </x:c>
      <x:c r="M14" t="n">
        <x:f>A14</x:f>
        <x:v>10</x:v>
      </x:c>
      <x:c r="N14" t="n">
        <x:f>E14</x:f>
        <x:v>323194</x:v>
      </x:c>
    </x:row>
    <x:row r="15">
      <x:c r="A15" s="10" t="n">
        <x:v>11</x:v>
      </x:c>
      <x:c r="B15" s="53" t="n">
        <x:f>SUMIFS('现金明细'!$H$2:$H$238,'现金明细'!$D$2:$D$238,$A15,'现金明细'!$E$2:$E$238,"Inflow")</x:f>
        <x:v>4292671</x:v>
      </x:c>
      <x:c r="C15" s="53" t="n">
        <x:f>SUMIFS('现金明细'!$H$2:$H$238,'现金明细'!$D$2:$D$238,$A15,'现金明细'!$E$2:$E$238,"Outflow")</x:f>
        <x:v>4515500</x:v>
      </x:c>
      <x:c r="D15" s="53" t="n">
        <x:f>B15-C15</x:f>
        <x:v>-222829</x:v>
      </x:c>
      <x:c r="E15" s="53" t="n">
        <x:f>SUM($D$5:D15)</x:f>
        <x:v>100365</x:v>
      </x:c>
      <x:c r="F15" s="10" t="str">
        <x:f>IF(E15&lt;100000,"Critical",IF(E15&lt;300000,"Watch","Stable"))</x:f>
        <x:v>Watch</x:v>
      </x:c>
      <x:c r="M15" t="n">
        <x:f>A15</x:f>
        <x:v>11</x:v>
      </x:c>
      <x:c r="N15" t="n">
        <x:f>E15</x:f>
        <x:v>100365</x:v>
      </x:c>
    </x:row>
    <x:row r="16">
      <x:c r="A16" s="10" t="n">
        <x:v>12</x:v>
      </x:c>
      <x:c r="B16" s="53" t="n">
        <x:f>SUMIFS('现金明细'!$H$2:$H$238,'现金明细'!$D$2:$D$238,$A16,'现金明细'!$E$2:$E$238,"Inflow")</x:f>
        <x:v>3676605</x:v>
      </x:c>
      <x:c r="C16" s="53" t="n">
        <x:f>SUMIFS('现金明细'!$H$2:$H$238,'现金明细'!$D$2:$D$238,$A16,'现金明细'!$E$2:$E$238,"Outflow")</x:f>
        <x:v>3439250</x:v>
      </x:c>
      <x:c r="D16" s="53" t="n">
        <x:f>B16-C16</x:f>
        <x:v>237355</x:v>
      </x:c>
      <x:c r="E16" s="53" t="n">
        <x:f>SUM($D$5:D16)</x:f>
        <x:v>337720</x:v>
      </x:c>
      <x:c r="F16" s="10" t="str">
        <x:f>IF(E16&lt;100000,"Critical",IF(E16&lt;300000,"Watch","Stable"))</x:f>
        <x:v>Stable</x:v>
      </x:c>
      <x:c r="M16" t="n">
        <x:f>A16</x:f>
        <x:v>12</x:v>
      </x:c>
      <x:c r="N16" t="n">
        <x:f>E16</x:f>
        <x:v>337720</x:v>
      </x:c>
    </x:row>
    <x:row r="17">
      <x:c r="A17" s="10" t="n">
        <x:v>13</x:v>
      </x:c>
      <x:c r="B17" s="53" t="n">
        <x:f>SUMIFS('现金明细'!$H$2:$H$238,'现金明细'!$D$2:$D$238,$A17,'现金明细'!$E$2:$E$238,"Inflow")</x:f>
        <x:v>5517903</x:v>
      </x:c>
      <x:c r="C17" s="53" t="n">
        <x:f>SUMIFS('现金明细'!$H$2:$H$238,'现金明细'!$D$2:$D$238,$A17,'现金明细'!$E$2:$E$238,"Outflow")</x:f>
        <x:v>5852400</x:v>
      </x:c>
      <x:c r="D17" s="53" t="n">
        <x:f>B17-C17</x:f>
        <x:v>-334497</x:v>
      </x:c>
      <x:c r="E17" s="53" t="n">
        <x:f>SUM($D$5:D17)</x:f>
        <x:v>3223</x:v>
      </x:c>
      <x:c r="F17" s="10" t="str">
        <x:f>IF(E17&lt;100000,"Critical",IF(E17&lt;300000,"Watch","Stable"))</x:f>
        <x:v>Critical</x:v>
      </x:c>
      <x:c r="M17" t="n">
        <x:f>A17</x:f>
        <x:v>13</x:v>
      </x:c>
      <x:c r="N17" t="n">
        <x:f>E17</x:f>
        <x:v>3223</x:v>
      </x:c>
    </x:row>
    <x:row r="18">
      <x:c r="A18" s="10" t="n">
        <x:v>14</x:v>
      </x:c>
      <x:c r="B18" s="53" t="n">
        <x:f>SUMIFS('现金明细'!$H$2:$H$238,'现金明细'!$D$2:$D$238,$A18,'现金明细'!$E$2:$E$238,"Inflow")</x:f>
        <x:v>7350051</x:v>
      </x:c>
      <x:c r="C18" s="53" t="n">
        <x:f>SUMIFS('现金明细'!$H$2:$H$238,'现金明细'!$D$2:$D$238,$A18,'现金明细'!$E$2:$E$238,"Outflow")</x:f>
        <x:v>7000000</x:v>
      </x:c>
      <x:c r="D18" s="53" t="n">
        <x:f>B18-C18</x:f>
        <x:v>350051</x:v>
      </x:c>
      <x:c r="E18" s="53" t="n">
        <x:f>SUM($D$5:D18)</x:f>
        <x:v>353274</x:v>
      </x:c>
      <x:c r="F18" s="10" t="str">
        <x:f>IF(E18&lt;100000,"Critical",IF(E18&lt;300000,"Watch","Stable"))</x:f>
        <x:v>Stable</x:v>
      </x:c>
      <x:c r="M18" t="n">
        <x:f>A18</x:f>
        <x:v>14</x:v>
      </x:c>
      <x:c r="N18" t="n">
        <x:f>E18</x:f>
        <x:v>353274</x:v>
      </x:c>
    </x:row>
  </x:sheetData>
  <x:mergeCells>
    <x:mergeCell ref="A1:L1"/>
    <x:mergeCell ref="A2:L2"/>
  </x:mergeCells>
  <x:conditionalFormatting sqref="F5:F18">
    <x:cfRule type="containsText" dxfId="2" priority="1" operator="containsText" text="Critical"/>
  </x:conditionalFormatting>
  <x:pageMargins left="0.7" right="0.7" top="0.75" bottom="0.75" header="0.3" footer="0.3"/>
  <x:drawing xmlns:r="http://schemas.openxmlformats.org/officeDocument/2006/relationships" r:id="R8442adc6ea16406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13" t="str">
        <x:v>经营情景测算</x:v>
      </x:c>
      <x:c r="B1" s="13"/>
      <x:c r="C1" s="13"/>
      <x:c r="D1" s="13"/>
      <x:c r="E1" s="13"/>
      <x:c r="F1" s="13"/>
      <x:c r="G1" s="13"/>
      <x:c r="H1" s="13"/>
    </x:row>
    <x:row r="2" ht="25" customHeight="1">
      <x:c r="A2" s="18" t="str">
        <x:v>蓝色单元格为可编辑假设；模型以Q14为基准，测算增长对收入、毛利、产能和现金缓冲的影响。</x:v>
      </x:c>
      <x:c r="B2" s="18"/>
      <x:c r="C2" s="18"/>
      <x:c r="D2" s="18"/>
      <x:c r="E2" s="18"/>
      <x:c r="F2" s="18"/>
      <x:c r="G2" s="18"/>
      <x:c r="H2" s="18"/>
    </x:row>
    <x:row r="4" ht="24" customHeight="1">
      <x:c r="A4" s="6" t="str">
        <x:v>情景</x:v>
      </x:c>
      <x:c r="B4" s="6" t="str">
        <x:v>销量增长</x:v>
      </x:c>
      <x:c r="C4" s="6" t="str">
        <x:v>ASP变化</x:v>
      </x:c>
      <x:c r="D4" s="6" t="str">
        <x:v>单位成本变化</x:v>
      </x:c>
      <x:c r="F4" s="6" t="str">
        <x:v>输入</x:v>
      </x:c>
      <x:c r="G4" s="6" t="str">
        <x:v>选择/数值</x:v>
      </x:c>
    </x:row>
    <x:row r="5">
      <x:c r="A5" s="10" t="str">
        <x:v>Base</x:v>
      </x:c>
      <x:c r="B5" s="54" t="n">
        <x:v>0.1</x:v>
      </x:c>
      <x:c r="C5" s="54" t="n">
        <x:v>0</x:v>
      </x:c>
      <x:c r="D5" s="54" t="n">
        <x:v>-0.01</x:v>
      </x:c>
      <x:c r="F5" t="str">
        <x:v>选择情景</x:v>
      </x:c>
      <x:c r="G5" s="60" t="str">
        <x:v>Base</x:v>
      </x:c>
    </x:row>
    <x:row r="6">
      <x:c r="A6" s="10" t="str">
        <x:v>Growth</x:v>
      </x:c>
      <x:c r="B6" s="54" t="n">
        <x:v>0.25</x:v>
      </x:c>
      <x:c r="C6" s="54" t="n">
        <x:v>-0.02</x:v>
      </x:c>
      <x:c r="D6" s="54" t="n">
        <x:v>0.01</x:v>
      </x:c>
      <x:c r="F6" t="str">
        <x:v>新增产能</x:v>
      </x:c>
      <x:c r="G6" s="60" t="n">
        <x:v>120</x:v>
      </x:c>
    </x:row>
    <x:row r="7">
      <x:c r="A7" s="10" t="str">
        <x:v>Stress</x:v>
      </x:c>
      <x:c r="B7" s="54" t="n">
        <x:v>-0.1</x:v>
      </x:c>
      <x:c r="C7" s="54" t="n">
        <x:v>-0.04</x:v>
      </x:c>
      <x:c r="D7" s="54" t="n">
        <x:v>0.04</x:v>
      </x:c>
      <x:c r="F7" t="str">
        <x:v>安全现金底线</x:v>
      </x:c>
      <x:c r="G7" s="61" t="n">
        <x:v>300000</x:v>
      </x:c>
    </x:row>
    <x:row r="8">
      <x:c r="F8" t="str">
        <x:v>库存投入率</x:v>
      </x:c>
      <x:c r="G8" s="62" t="n">
        <x:v>0.22</x:v>
      </x:c>
    </x:row>
    <x:row r="11" ht="24" customHeight="1">
      <x:c r="A11" s="6" t="str">
        <x:v>指标</x:v>
      </x:c>
      <x:c r="B11" s="6" t="str">
        <x:v>Q14基准</x:v>
      </x:c>
      <x:c r="C11" s="6" t="str">
        <x:v>情景结果</x:v>
      </x:c>
      <x:c r="D11" s="6" t="str">
        <x:v>判断</x:v>
      </x:c>
    </x:row>
    <x:row r="12">
      <x:c r="A12" s="10" t="str">
        <x:v>销售额</x:v>
      </x:c>
      <x:c r="B12" s="53" t="n">
        <x:f>'季度KPI'!$C$15</x:f>
        <x:v>7350000</x:v>
      </x:c>
      <x:c r="C12" s="53" t="n">
        <x:f>B12*(1+XLOOKUP($G$5,$A$5:$A$7,$B$5:$B$7))*(1+XLOOKUP($G$5,$A$5:$A$7,$C$5:$C$7))</x:f>
        <x:v>8085000.000000001</x:v>
      </x:c>
      <x:c r="D12" s="10" t="str">
        <x:f>IF(C12&gt;=B12,"增长","收缩")</x:f>
        <x:v>增长</x:v>
      </x:c>
    </x:row>
    <x:row r="13">
      <x:c r="A13" s="10" t="str">
        <x:v>销量</x:v>
      </x:c>
      <x:c r="B13" s="53" t="n">
        <x:f>'季度KPI'!$G$15</x:f>
        <x:v>2672</x:v>
      </x:c>
      <x:c r="C13" s="53" t="n">
        <x:f>B13*(1+XLOOKUP($G$5,$A$5:$A$7,$B$5:$B$7))</x:f>
        <x:v>2939.2000000000003</x:v>
      </x:c>
      <x:c r="D13" s="10" t="str">
        <x:f>IF(C13&gt;=B13,"增长","收缩")</x:f>
        <x:v>增长</x:v>
      </x:c>
    </x:row>
    <x:row r="14">
      <x:c r="A14" s="10" t="str">
        <x:v>毛利率</x:v>
      </x:c>
      <x:c r="B14" s="54" t="n">
        <x:f>'季度KPI'!$F$15</x:f>
        <x:v>0.2682</x:v>
      </x:c>
      <x:c r="C14" s="54" t="n">
        <x:f>1-(1-B14)*(1+XLOOKUP($G$5,$A$5:$A$7,$D$5:$D$7))/(1+XLOOKUP($G$5,$A$5:$A$7,$C$5:$C$7))</x:f>
        <x:v>0.27551800000000004</x:v>
      </x:c>
      <x:c r="D14" s="10" t="str">
        <x:f>IF(C14&gt;=B14,"改善","承压")</x:f>
        <x:v>改善</x:v>
      </x:c>
    </x:row>
    <x:row r="15">
      <x:c r="A15" s="10" t="str">
        <x:v>毛利额</x:v>
      </x:c>
      <x:c r="B15" s="53" t="n">
        <x:f>'季度KPI'!$E$15</x:f>
        <x:v>1971168.25</x:v>
      </x:c>
      <x:c r="C15" s="53" t="n">
        <x:f>C12*C14</x:f>
        <x:v>2227563.0300000007</x:v>
      </x:c>
      <x:c r="D15" s="10" t="str">
        <x:f>IF(C15&gt;=B15,"增长","下降")</x:f>
        <x:v>增长</x:v>
      </x:c>
    </x:row>
    <x:row r="16">
      <x:c r="A16" s="10" t="str">
        <x:v>月均产能需求</x:v>
      </x:c>
      <x:c r="B16" s="53" t="n">
        <x:f>B13/3</x:f>
        <x:v>890.6666666666666</x:v>
      </x:c>
      <x:c r="C16" s="53" t="n">
        <x:f>C13/3</x:f>
        <x:v>979.7333333333335</x:v>
      </x:c>
      <x:c r="D16" s="10" t="str">
        <x:f>IF(C16&lt;=C17,"产能可覆盖","存在缺口")</x:f>
        <x:v>产能可覆盖</x:v>
      </x:c>
    </x:row>
    <x:row r="17">
      <x:c r="A17" s="10" t="str">
        <x:v>可用月产能</x:v>
      </x:c>
      <x:c r="B17" s="53" t="n">
        <x:f>SUMIFS('生产明细'!$F$2:$F$169,'生产明细'!$J$2:$J$169,14)/3</x:f>
        <x:v>980</x:v>
      </x:c>
      <x:c r="C17" s="53" t="n">
        <x:f>B17+$G$6</x:f>
        <x:v>1100</x:v>
      </x:c>
      <x:c r="D17" s="10" t="str">
        <x:f>IF(C17&gt;=C16,"满足","不足")</x:f>
        <x:v>满足</x:v>
      </x:c>
    </x:row>
    <x:row r="18">
      <x:c r="A18" s="10" t="str">
        <x:v>预计期末现金</x:v>
      </x:c>
      <x:c r="B18" s="53" t="n">
        <x:f>'季度KPI'!$R$15</x:f>
        <x:v>353274</x:v>
      </x:c>
      <x:c r="C18" s="53" t="n">
        <x:f>B18+(C15-B15)-(C12-B12)*$G$8</x:f>
        <x:v>447968.7800000005</x:v>
      </x:c>
      <x:c r="D18" s="10" t="str">
        <x:f>IF(C18&gt;=$G$7,"高于底线","低于底线")</x:f>
        <x:v>高于底线</x:v>
      </x:c>
    </x:row>
    <x:row r="19">
      <x:c r="A19" s="10" t="str">
        <x:v>现金安全余量</x:v>
      </x:c>
      <x:c r="B19" s="53" t="n">
        <x:f>B18-$G$7</x:f>
        <x:v>53274</x:v>
      </x:c>
      <x:c r="C19" s="53" t="n">
        <x:f>C18-$G$7</x:f>
        <x:v>147968.7800000005</x:v>
      </x:c>
      <x:c r="D19" s="10" t="str">
        <x:f>IF(C19&gt;=0,"安全","预警")</x:f>
        <x:v>安全</x:v>
      </x:c>
    </x:row>
  </x:sheetData>
  <x:mergeCells>
    <x:mergeCell ref="A1:H1"/>
    <x:mergeCell ref="A2:H2"/>
  </x:mergeCells>
  <x:conditionalFormatting sqref="D19:D19">
    <x:cfRule type="containsText" dxfId="3" priority="1" operator="containsText" text="预警"/>
  </x:conditionalFormatting>
  <x:dataValidations count="2">
    <x:dataValidation type="list" sqref="G5">
      <x:formula1>"Base,Growth,Stress"</x:formula1>
    </x:dataValidation>
    <x:dataValidation type="whole" operator="between" sqref="G6">
      <x:formula1>0</x:formula1>
      <x:formula2>1000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26" hidden="0" customWidth="1"/>
    <x:col min="5" max="5" width="26" hidden="0" customWidth="1"/>
    <x:col min="6" max="6" width="26" hidden="0" customWidth="1"/>
    <x:col min="7" max="7" width="14" hidden="0" customWidth="1"/>
    <x:col min="8" max="8" width="14" hidden="0" customWidth="1"/>
  </x:cols>
  <x:sheetData>
    <x:row r="1" ht="32" customHeight="1">
      <x:c r="A1" s="13" t="str">
        <x:v>清洗与映射规则</x:v>
      </x:c>
      <x:c r="B1" s="13"/>
      <x:c r="C1" s="13"/>
      <x:c r="D1" s="13"/>
      <x:c r="E1" s="13"/>
      <x:c r="F1" s="13"/>
      <x:c r="G1" s="13"/>
      <x:c r="H1" s="13"/>
    </x:row>
    <x:row r="2" ht="25" customHeight="1">
      <x:c r="A2" s="18" t="str">
        <x:v>所有业务键均通过可见映射表转换；订单明细 W:AA 与库存明细 M:N 使用 XLOOKUP 生成辅助字段。</x:v>
      </x:c>
      <x:c r="B2" s="18"/>
      <x:c r="C2" s="18"/>
      <x:c r="D2" s="18"/>
      <x:c r="E2" s="18"/>
      <x:c r="F2" s="18"/>
      <x:c r="G2" s="18"/>
      <x:c r="H2" s="18"/>
    </x:row>
    <x:row r="4" ht="24" customHeight="1">
      <x:c r="A4" s="6" t="str">
        <x:v>Mapping Type</x:v>
      </x:c>
      <x:c r="B4" s="6" t="str">
        <x:v>Source Key</x:v>
      </x:c>
      <x:c r="C4" s="6" t="str">
        <x:v>Mapped Value</x:v>
      </x:c>
      <x:c r="D4" s="6" t="str">
        <x:v>Business Meaning</x:v>
      </x:c>
      <x:c r="E4" s="6" t="str">
        <x:v>Rule</x:v>
      </x:c>
      <x:c r="F4" s="6" t="str">
        <x:v>Missing Handling</x:v>
      </x:c>
      <x:c r="G4" s="6" t="str">
        <x:v>Owner</x:v>
      </x:c>
      <x:c r="H4" s="6" t="str">
        <x:v>Status</x:v>
      </x:c>
    </x:row>
    <x:row r="5">
      <x:c r="A5" s="19" t="str">
        <x:v>Product</x:v>
      </x:c>
      <x:c r="B5" s="19" t="n">
        <x:v>101</x:v>
      </x:c>
      <x:c r="C5" s="19" t="str">
        <x:v>L1 / N-Lite</x:v>
      </x:c>
      <x:c r="D5" s="19" t="str">
        <x:v>L系列大众基础款</x:v>
      </x:c>
      <x:c r="E5" s="19" t="str">
        <x:v>product_key → SKU</x:v>
      </x:c>
      <x:c r="F5" s="19" t="str">
        <x:v>返回未映射</x:v>
      </x:c>
      <x:c r="G5" s="19" t="str">
        <x:v>Data Analyst</x:v>
      </x:c>
      <x:c r="H5" s="19" t="str">
        <x:v>Active</x:v>
      </x:c>
    </x:row>
    <x:row r="6">
      <x:c r="A6" s="19" t="str">
        <x:v>Product</x:v>
      </x:c>
      <x:c r="B6" s="19" t="n">
        <x:v>102</x:v>
      </x:c>
      <x:c r="C6" s="19" t="str">
        <x:v>L2 / N-Plus</x:v>
      </x:c>
      <x:c r="D6" s="19" t="str">
        <x:v>L系列大众升级款</x:v>
      </x:c>
      <x:c r="E6" s="19" t="str">
        <x:v>product_key → SKU</x:v>
      </x:c>
      <x:c r="F6" s="19" t="str">
        <x:v>返回未映射</x:v>
      </x:c>
      <x:c r="G6" s="19" t="str">
        <x:v>Data Analyst</x:v>
      </x:c>
      <x:c r="H6" s="19" t="str">
        <x:v>Active</x:v>
      </x:c>
    </x:row>
    <x:row r="7">
      <x:c r="A7" s="19" t="str">
        <x:v>Product</x:v>
      </x:c>
      <x:c r="B7" s="19" t="n">
        <x:v>201</x:v>
      </x:c>
      <x:c r="C7" s="19" t="str">
        <x:v>H1 / N-Pro</x:v>
      </x:c>
      <x:c r="D7" s="19" t="str">
        <x:v>H系列高端旗舰款</x:v>
      </x:c>
      <x:c r="E7" s="19" t="str">
        <x:v>product_key → SKU</x:v>
      </x:c>
      <x:c r="F7" s="19" t="str">
        <x:v>返回未映射</x:v>
      </x:c>
      <x:c r="G7" s="19" t="str">
        <x:v>Data Analyst</x:v>
      </x:c>
      <x:c r="H7" s="19" t="str">
        <x:v>Active</x:v>
      </x:c>
    </x:row>
    <x:row r="8">
      <x:c r="A8" s="19" t="str">
        <x:v>Product</x:v>
      </x:c>
      <x:c r="B8" s="19" t="n">
        <x:v>202</x:v>
      </x:c>
      <x:c r="C8" s="19" t="str">
        <x:v>H2 / N-Ultra</x:v>
      </x:c>
      <x:c r="D8" s="19" t="str">
        <x:v>H系列高端影像款</x:v>
      </x:c>
      <x:c r="E8" s="19" t="str">
        <x:v>product_key → SKU</x:v>
      </x:c>
      <x:c r="F8" s="19" t="str">
        <x:v>返回未映射</x:v>
      </x:c>
      <x:c r="G8" s="19" t="str">
        <x:v>Data Analyst</x:v>
      </x:c>
      <x:c r="H8" s="19" t="str">
        <x:v>Active</x:v>
      </x:c>
    </x:row>
    <x:row r="9">
      <x:c r="A9" s="19" t="str">
        <x:v>Channel</x:v>
      </x:c>
      <x:c r="B9" s="19" t="n">
        <x:v>1</x:v>
      </x:c>
      <x:c r="C9" s="19" t="str">
        <x:v>线上直营</x:v>
      </x:c>
      <x:c r="D9" s="19" t="str">
        <x:v>自营电商与品牌商城</x:v>
      </x:c>
      <x:c r="E9" s="19" t="str">
        <x:v>channel_key → channel_name</x:v>
      </x:c>
      <x:c r="F9" s="19" t="str">
        <x:v>返回未映射</x:v>
      </x:c>
      <x:c r="G9" s="19" t="str">
        <x:v>Data Analyst</x:v>
      </x:c>
      <x:c r="H9" s="19" t="str">
        <x:v>Active</x:v>
      </x:c>
    </x:row>
    <x:row r="10">
      <x:c r="A10" s="19" t="str">
        <x:v>Channel</x:v>
      </x:c>
      <x:c r="B10" s="19" t="n">
        <x:v>2</x:v>
      </x:c>
      <x:c r="C10" s="19" t="str">
        <x:v>线下零售</x:v>
      </x:c>
      <x:c r="D10" s="19" t="str">
        <x:v>门店与零售合作伙伴</x:v>
      </x:c>
      <x:c r="E10" s="19" t="str">
        <x:v>channel_key → channel_name</x:v>
      </x:c>
      <x:c r="F10" s="19" t="str">
        <x:v>返回未映射</x:v>
      </x:c>
      <x:c r="G10" s="19" t="str">
        <x:v>Data Analyst</x:v>
      </x:c>
      <x:c r="H10" s="19" t="str">
        <x:v>Active</x:v>
      </x:c>
    </x:row>
    <x:row r="11">
      <x:c r="A11" s="19" t="str">
        <x:v>Channel</x:v>
      </x:c>
      <x:c r="B11" s="19" t="n">
        <x:v>3</x:v>
      </x:c>
      <x:c r="C11" s="19" t="str">
        <x:v>区域经销</x:v>
      </x:c>
      <x:c r="D11" s="19" t="str">
        <x:v>区域批量经销业务</x:v>
      </x:c>
      <x:c r="E11" s="19" t="str">
        <x:v>channel_key → channel_name</x:v>
      </x:c>
      <x:c r="F11" s="19" t="str">
        <x:v>返回未映射</x:v>
      </x:c>
      <x:c r="G11" s="19" t="str">
        <x:v>Data Analyst</x:v>
      </x:c>
      <x:c r="H11" s="19" t="str">
        <x:v>Active</x:v>
      </x:c>
    </x:row>
    <x:row r="12">
      <x:c r="A12" s="19" t="str">
        <x:v>Date</x:v>
      </x:c>
      <x:c r="B12" s="19" t="str">
        <x:v>YYYYMM</x:v>
      </x:c>
      <x:c r="C12" s="19" t="str">
        <x:v>Q01-Q14</x:v>
      </x:c>
      <x:c r="D12" s="19" t="str">
        <x:v>连续42个月映射为14经营季度</x:v>
      </x:c>
      <x:c r="E12" s="19" t="str">
        <x:v>每3个月为一经营季度</x:v>
      </x:c>
      <x:c r="F12" s="19" t="str">
        <x:v>返回0</x:v>
      </x:c>
      <x:c r="G12" s="19" t="str">
        <x:v>Data Analyst</x:v>
      </x:c>
      <x:c r="H12" s="19" t="str">
        <x:v>Active</x:v>
      </x:c>
    </x:row>
    <x:row r="13">
      <x:c r="A13" s="19" t="str">
        <x:v>Cash</x:v>
      </x:c>
      <x:c r="B13" s="19" t="str">
        <x:v>signed_amount</x:v>
      </x:c>
      <x:c r="C13" s="19" t="str">
        <x:v>流入为正/流出为负</x:v>
      </x:c>
      <x:c r="D13" s="19" t="str">
        <x:v>用于累计现金余额</x:v>
      </x:c>
      <x:c r="E13" s="19" t="str">
        <x:v>direction 决定符号</x:v>
      </x:c>
      <x:c r="F13" s="19" t="str">
        <x:v>不允许为空</x:v>
      </x:c>
      <x:c r="G13" s="19" t="str">
        <x:v>Data Analyst</x:v>
      </x:c>
      <x:c r="H13" s="19" t="str">
        <x:v>Active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38" hidden="0" customWidth="1"/>
    <x:col min="6" max="6" width="18" hidden="0" customWidth="1"/>
    <x:col min="7" max="7" width="18" hidden="0" customWidth="1"/>
  </x:cols>
  <x:sheetData>
    <x:row r="1" ht="32" customHeight="1">
      <x:c r="A1" s="13" t="str">
        <x:v>数据字典</x:v>
      </x:c>
      <x:c r="B1" s="13"/>
      <x:c r="C1" s="13"/>
      <x:c r="D1" s="13"/>
      <x:c r="E1" s="13"/>
      <x:c r="F1" s="13"/>
      <x:c r="G1" s="13"/>
    </x:row>
    <x:row r="2" ht="25" customHeight="1">
      <x:c r="A2" s="18" t="str">
        <x:v>粒度、主键与指标口径均在此集中定义；币种为人民币，日期采用自然月。</x:v>
      </x:c>
      <x:c r="B2" s="18"/>
      <x:c r="C2" s="18"/>
      <x:c r="D2" s="18"/>
      <x:c r="E2" s="18"/>
      <x:c r="F2" s="18"/>
      <x:c r="G2" s="18"/>
    </x:row>
    <x:row r="4" ht="24" customHeight="1">
      <x:c r="A4" s="6" t="str">
        <x:v>Table</x:v>
      </x:c>
      <x:c r="B4" s="6" t="str">
        <x:v>Grain</x:v>
      </x:c>
      <x:c r="C4" s="6" t="str">
        <x:v>Primary Key</x:v>
      </x:c>
      <x:c r="D4" s="6" t="str">
        <x:v>Field / Metric</x:v>
      </x:c>
      <x:c r="E4" s="6" t="str">
        <x:v>Definition</x:v>
      </x:c>
      <x:c r="F4" s="6" t="str">
        <x:v>Type</x:v>
      </x:c>
      <x:c r="G4" s="6" t="str">
        <x:v>QA Rule</x:v>
      </x:c>
    </x:row>
    <x:row r="5">
      <x:c r="A5" s="19" t="str">
        <x:v>dim_date</x:v>
      </x:c>
      <x:c r="B5" s="19" t="str">
        <x:v>每月一行</x:v>
      </x:c>
      <x:c r="C5" s="19" t="str">
        <x:v>date_key</x:v>
      </x:c>
      <x:c r="D5" s="19" t="str">
        <x:v>business_quarter</x:v>
      </x:c>
      <x:c r="E5" s="19" t="str">
        <x:v>连续42个月映射为Q01-Q14</x:v>
      </x:c>
      <x:c r="F5" s="19" t="str">
        <x:v>Text</x:v>
      </x:c>
      <x:c r="G5" s="19" t="str">
        <x:v>42行且主键唯一</x:v>
      </x:c>
    </x:row>
    <x:row r="6">
      <x:c r="A6" s="19" t="str">
        <x:v>dim_product</x:v>
      </x:c>
      <x:c r="B6" s="19" t="str">
        <x:v>每SKU一行</x:v>
      </x:c>
      <x:c r="C6" s="19" t="str">
        <x:v>product_key</x:v>
      </x:c>
      <x:c r="D6" s="19" t="str">
        <x:v>product_family</x:v>
      </x:c>
      <x:c r="E6" s="19" t="str">
        <x:v>L/H产品大类</x:v>
      </x:c>
      <x:c r="F6" s="19" t="str">
        <x:v>Text</x:v>
      </x:c>
      <x:c r="G6" s="19" t="str">
        <x:v>4个SKU</x:v>
      </x:c>
    </x:row>
    <x:row r="7">
      <x:c r="A7" s="19" t="str">
        <x:v>dim_channel</x:v>
      </x:c>
      <x:c r="B7" s="19" t="str">
        <x:v>每渠道一行</x:v>
      </x:c>
      <x:c r="C7" s="19" t="str">
        <x:v>channel_key</x:v>
      </x:c>
      <x:c r="D7" s="19" t="str">
        <x:v>channel_name</x:v>
      </x:c>
      <x:c r="E7" s="19" t="str">
        <x:v>线上直营/线下零售/区域经销</x:v>
      </x:c>
      <x:c r="F7" s="19" t="str">
        <x:v>Text</x:v>
      </x:c>
      <x:c r="G7" s="19" t="str">
        <x:v>3类渠道</x:v>
      </x:c>
    </x:row>
    <x:row r="8">
      <x:c r="A8" s="19" t="str">
        <x:v>dim_region</x:v>
      </x:c>
      <x:c r="B8" s="19" t="str">
        <x:v>每区域一行</x:v>
      </x:c>
      <x:c r="C8" s="19" t="str">
        <x:v>region_key</x:v>
      </x:c>
      <x:c r="D8" s="19" t="str">
        <x:v>region_name</x:v>
      </x:c>
      <x:c r="E8" s="19" t="str">
        <x:v>华东/华南/华北/中西部</x:v>
      </x:c>
      <x:c r="F8" s="19" t="str">
        <x:v>Text</x:v>
      </x:c>
      <x:c r="G8" s="19" t="str">
        <x:v>4个区域</x:v>
      </x:c>
    </x:row>
    <x:row r="9">
      <x:c r="A9" s="19" t="str">
        <x:v>fact_sales_order</x:v>
      </x:c>
      <x:c r="B9" s="19" t="str">
        <x:v>每订单行</x:v>
      </x:c>
      <x:c r="C9" s="19" t="str">
        <x:v>order_id</x:v>
      </x:c>
      <x:c r="D9" s="19" t="str">
        <x:v>net_sales</x:v>
      </x:c>
      <x:c r="E9" s="19" t="str">
        <x:v>订单净销售额；累计与销售回款控制额对账</x:v>
      </x:c>
      <x:c r="F9" s="19" t="str">
        <x:v>Decimal</x:v>
      </x:c>
      <x:c r="G9" s="19" t="str">
        <x:v>&gt;0</x:v>
      </x:c>
    </x:row>
    <x:row r="10">
      <x:c r="A10" s="19" t="str">
        <x:v>fact_sales_order</x:v>
      </x:c>
      <x:c r="B10" s="19" t="str">
        <x:v>每订单行</x:v>
      </x:c>
      <x:c r="C10" s="19" t="str">
        <x:v>order_id</x:v>
      </x:c>
      <x:c r="D10" s="19" t="str">
        <x:v>gross_margin</x:v>
      </x:c>
      <x:c r="E10" s="19" t="str">
        <x:v>(net_sales-cogs)/net_sales</x:v>
      </x:c>
      <x:c r="F10" s="19" t="str">
        <x:v>Percent</x:v>
      </x:c>
      <x:c r="G10" s="19" t="str">
        <x:v>0%-100%</x:v>
      </x:c>
    </x:row>
    <x:row r="11">
      <x:c r="A11" s="19" t="str">
        <x:v>fact_sales_order</x:v>
      </x:c>
      <x:c r="B11" s="19" t="str">
        <x:v>每订单行</x:v>
      </x:c>
      <x:c r="C11" s="19" t="str">
        <x:v>order_id</x:v>
      </x:c>
      <x:c r="D11" s="19" t="str">
        <x:v>on_time_flag</x:v>
      </x:c>
      <x:c r="E11" s="19" t="str">
        <x:v>完整交付且发货日期不晚于承诺日期</x:v>
      </x:c>
      <x:c r="F11" s="19" t="str">
        <x:v>0/1</x:v>
      </x:c>
      <x:c r="G11" s="19" t="str">
        <x:v>仅0或1</x:v>
      </x:c>
    </x:row>
    <x:row r="12">
      <x:c r="A12" s="19" t="str">
        <x:v>fact_inventory</x:v>
      </x:c>
      <x:c r="B12" s="19" t="str">
        <x:v>每月×SKU</x:v>
      </x:c>
      <x:c r="C12" s="19" t="str">
        <x:v>month_key+product_key</x:v>
      </x:c>
      <x:c r="D12" s="19" t="str">
        <x:v>days_of_supply</x:v>
      </x:c>
      <x:c r="E12" s="19" t="str">
        <x:v>月末库存÷当月需求×30；无需求期单独处理</x:v>
      </x:c>
      <x:c r="F12" s="19" t="str">
        <x:v>Decimal</x:v>
      </x:c>
      <x:c r="G12" s="19" t="str">
        <x:v>&gt;=0</x:v>
      </x:c>
    </x:row>
    <x:row r="13">
      <x:c r="A13" s="19" t="str">
        <x:v>fact_inventory</x:v>
      </x:c>
      <x:c r="B13" s="19" t="str">
        <x:v>每月×SKU</x:v>
      </x:c>
      <x:c r="C13" s="19" t="str">
        <x:v>month_key+product_key</x:v>
      </x:c>
      <x:c r="D13" s="19" t="str">
        <x:v>inventory_balance</x:v>
      </x:c>
      <x:c r="E13" s="19" t="str">
        <x:v>期初+生产入库-发货=期末</x:v>
      </x:c>
      <x:c r="F13" s="19" t="str">
        <x:v>Check</x:v>
      </x:c>
      <x:c r="G13" s="19" t="str">
        <x:v>差异为0</x:v>
      </x:c>
    </x:row>
    <x:row r="14">
      <x:c r="A14" s="19" t="str">
        <x:v>fact_production</x:v>
      </x:c>
      <x:c r="B14" s="19" t="str">
        <x:v>每月×SKU</x:v>
      </x:c>
      <x:c r="C14" s="19" t="str">
        <x:v>month_key+product_key</x:v>
      </x:c>
      <x:c r="D14" s="19" t="str">
        <x:v>capacity_utilization</x:v>
      </x:c>
      <x:c r="E14" s="19" t="str">
        <x:v>总产出÷分配产能</x:v>
      </x:c>
      <x:c r="F14" s="19" t="str">
        <x:v>Percent</x:v>
      </x:c>
      <x:c r="G14" s="19" t="str">
        <x:v>0%-100%</x:v>
      </x:c>
    </x:row>
    <x:row r="15">
      <x:c r="A15" s="19" t="str">
        <x:v>fact_cashflow</x:v>
      </x:c>
      <x:c r="B15" s="19" t="str">
        <x:v>每月×现金类别</x:v>
      </x:c>
      <x:c r="C15" s="19" t="str">
        <x:v>cashflow_id</x:v>
      </x:c>
      <x:c r="D15" s="19" t="str">
        <x:v>signed_amount</x:v>
      </x:c>
      <x:c r="E15" s="19" t="str">
        <x:v>流入为正、流出为负</x:v>
      </x:c>
      <x:c r="F15" s="19" t="str">
        <x:v>Decimal</x:v>
      </x:c>
      <x:c r="G15" s="19" t="str">
        <x:v>累计期末353,274</x:v>
      </x:c>
    </x:row>
    <x:row r="16">
      <x:c r="A16" s="19" t="str">
        <x:v>KPI</x:v>
      </x:c>
      <x:c r="B16" s="19" t="str">
        <x:v>筛选上下文</x:v>
      </x:c>
      <x:c r="C16" s="19" t="str">
        <x:v>-</x:v>
      </x:c>
      <x:c r="D16" s="19" t="str">
        <x:v>fill_rate</x:v>
      </x:c>
      <x:c r="E16" s="19" t="str">
        <x:v>SUM(shipped_qty)/SUM(ordered_qty)</x:v>
      </x:c>
      <x:c r="F16" s="19" t="str">
        <x:v>Percent</x:v>
      </x:c>
      <x:c r="G16" s="19" t="str">
        <x:v>分母&gt;0</x:v>
      </x:c>
    </x:row>
    <x:row r="17">
      <x:c r="A17" s="19" t="str">
        <x:v>KPI</x:v>
      </x:c>
      <x:c r="B17" s="19" t="str">
        <x:v>筛选上下文</x:v>
      </x:c>
      <x:c r="C17" s="19" t="str">
        <x:v>-</x:v>
      </x:c>
      <x:c r="D17" s="19" t="str">
        <x:v>inventory_turnover</x:v>
      </x:c>
      <x:c r="E17" s="19" t="str">
        <x:v>销售成本÷平均库存金额</x:v>
      </x:c>
      <x:c r="F17" s="19" t="str">
        <x:v>Times</x:v>
      </x:c>
      <x:c r="G17" s="19" t="str">
        <x:v>仅销售期解释</x:v>
      </x:c>
    </x:row>
    <x:row r="18">
      <x:c r="A18" s="19" t="str">
        <x:v>KPI</x:v>
      </x:c>
      <x:c r="B18" s="19" t="str">
        <x:v>筛选上下文</x:v>
      </x:c>
      <x:c r="C18" s="19" t="str">
        <x:v>-</x:v>
      </x:c>
      <x:c r="D18" s="19" t="str">
        <x:v>closing_cash</x:v>
      </x:c>
      <x:c r="E18" s="19" t="str">
        <x:v>期初0加累计signed_amount</x:v>
      </x:c>
      <x:c r="F18" s="19" t="str">
        <x:v>Currency</x:v>
      </x:c>
      <x:c r="G18" s="19" t="str">
        <x:v>季度逐期对账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9.380000114440918" hidden="0" customWidth="1"/>
    <x:col min="3" max="3" width="9" hidden="0" customWidth="1"/>
    <x:col min="4" max="4" width="12.5" hidden="0" customWidth="1"/>
    <x:col min="5" max="5" width="7.130000114440918" hidden="0" customWidth="1"/>
    <x:col min="6" max="6" width="8.880000114440918" hidden="0" customWidth="1"/>
    <x:col min="7" max="7" width="9.880000114440918" hidden="0" customWidth="1"/>
    <x:col min="8" max="8" width="9.130000114440918" hidden="0" customWidth="1"/>
    <x:col min="9" max="9" width="9.130000114440918" hidden="0" customWidth="1"/>
    <x:col min="10" max="10" width="5.880000114440918" hidden="0" customWidth="1"/>
    <x:col min="11" max="11" width="14.630000114440918" hidden="0" customWidth="1"/>
    <x:col min="12" max="12" width="17.25" hidden="0" customWidth="1"/>
    <x:col min="13" max="13" width="14" hidden="0" customWidth="1"/>
    <x:col min="14" max="14" width="9.75" hidden="0" customWidth="1"/>
    <x:col min="15" max="15" width="9.25" hidden="0" customWidth="1"/>
  </x:cols>
  <x:sheetData>
    <x:row r="1" ht="15" hidden="0" customHeight="1">
      <x:c r="A1" s="7" t="str">
        <x:v>date_key</x:v>
      </x:c>
      <x:c r="B1" s="7" t="str">
        <x:v>month_label</x:v>
      </x:c>
      <x:c r="C1" s="7" t="str">
        <x:v>quarter_seq</x:v>
      </x:c>
      <x:c r="D1" s="7" t="str">
        <x:v>business_quarter</x:v>
      </x:c>
      <x:c r="E1" s="7" t="str">
        <x:v>net_sales</x:v>
      </x:c>
      <x:c r="F1" s="7" t="str">
        <x:v>gross_profit</x:v>
      </x:c>
      <x:c r="G1" s="7" t="str">
        <x:v>gross_margin</x:v>
      </x:c>
      <x:c r="H1" s="7" t="str">
        <x:v>ordered_qty</x:v>
      </x:c>
      <x:c r="I1" s="7" t="str">
        <x:v>shipped_qty</x:v>
      </x:c>
      <x:c r="J1" s="7" t="str">
        <x:v>fill_rate</x:v>
      </x:c>
      <x:c r="K1" s="7" t="str">
        <x:v>on_time_order_rate</x:v>
      </x:c>
      <x:c r="L1" s="7" t="str">
        <x:v>ending_inventory_value</x:v>
      </x:c>
      <x:c r="M1" s="7" t="str">
        <x:v>capacity_utilization</x:v>
      </x:c>
      <x:c r="N1" s="7" t="str">
        <x:v>net_cashflow</x:v>
      </x:c>
      <x:c r="O1" s="7" t="str">
        <x:v>closing_cash</x:v>
      </x:c>
    </x:row>
    <x:row r="2" ht="15" hidden="0" customHeight="1">
      <x:c r="A2" s="10" t="n">
        <x:v>202201</x:v>
      </x:c>
      <x:c r="B2" s="10" t="str">
        <x:v>2022-01</x:v>
      </x:c>
      <x:c r="C2" s="10" t="n">
        <x:v>1</x:v>
      </x:c>
      <x:c r="D2" s="10" t="str">
        <x:v>Q01</x:v>
      </x:c>
      <x:c r="E2" s="53" t="n">
        <x:v>0</x:v>
      </x:c>
      <x:c r="F2" s="53" t="n">
        <x:v>0</x:v>
      </x:c>
      <x:c r="G2" s="54" t="n">
        <x:v>0</x:v>
      </x:c>
      <x:c r="H2" s="53" t="n">
        <x:v>0</x:v>
      </x:c>
      <x:c r="I2" s="53" t="n">
        <x:v>0</x:v>
      </x:c>
      <x:c r="J2" s="54" t="n">
        <x:v>0</x:v>
      </x:c>
      <x:c r="K2" s="54" t="n">
        <x:v>0</x:v>
      </x:c>
      <x:c r="L2" s="53" t="n">
        <x:v>0</x:v>
      </x:c>
      <x:c r="M2" s="54" t="n">
        <x:v>0</x:v>
      </x:c>
      <x:c r="N2" s="53" t="n">
        <x:v>284745</x:v>
      </x:c>
      <x:c r="O2" s="53" t="n">
        <x:v>284745</x:v>
      </x:c>
    </x:row>
    <x:row r="3" ht="15" hidden="0" customHeight="1">
      <x:c r="A3" s="10" t="n">
        <x:v>202202</x:v>
      </x:c>
      <x:c r="B3" s="10" t="str">
        <x:v>2022-02</x:v>
      </x:c>
      <x:c r="C3" s="10" t="n">
        <x:v>1</x:v>
      </x:c>
      <x:c r="D3" s="10" t="str">
        <x:v>Q01</x:v>
      </x:c>
      <x:c r="E3" s="53" t="n">
        <x:v>0</x:v>
      </x:c>
      <x:c r="F3" s="53" t="n">
        <x:v>0</x:v>
      </x:c>
      <x:c r="G3" s="54" t="n">
        <x:v>0</x:v>
      </x:c>
      <x:c r="H3" s="53" t="n">
        <x:v>0</x:v>
      </x:c>
      <x:c r="I3" s="53" t="n">
        <x:v>0</x:v>
      </x:c>
      <x:c r="J3" s="54" t="n">
        <x:v>0</x:v>
      </x:c>
      <x:c r="K3" s="54" t="n">
        <x:v>0</x:v>
      </x:c>
      <x:c r="L3" s="53" t="n">
        <x:v>0</x:v>
      </x:c>
      <x:c r="M3" s="54" t="n">
        <x:v>0</x:v>
      </x:c>
      <x:c r="N3" s="53" t="n">
        <x:v>368181</x:v>
      </x:c>
      <x:c r="O3" s="53" t="n">
        <x:v>652926</x:v>
      </x:c>
    </x:row>
    <x:row r="4" ht="15" hidden="0" customHeight="1">
      <x:c r="A4" s="10" t="n">
        <x:v>202203</x:v>
      </x:c>
      <x:c r="B4" s="10" t="str">
        <x:v>2022-03</x:v>
      </x:c>
      <x:c r="C4" s="10" t="n">
        <x:v>1</x:v>
      </x:c>
      <x:c r="D4" s="10" t="str">
        <x:v>Q01</x:v>
      </x:c>
      <x:c r="E4" s="53" t="n">
        <x:v>0</x:v>
      </x:c>
      <x:c r="F4" s="53" t="n">
        <x:v>0</x:v>
      </x:c>
      <x:c r="G4" s="54" t="n">
        <x:v>0</x:v>
      </x:c>
      <x:c r="H4" s="53" t="n">
        <x:v>0</x:v>
      </x:c>
      <x:c r="I4" s="53" t="n">
        <x:v>0</x:v>
      </x:c>
      <x:c r="J4" s="54" t="n">
        <x:v>0</x:v>
      </x:c>
      <x:c r="K4" s="54" t="n">
        <x:v>0</x:v>
      </x:c>
      <x:c r="L4" s="53" t="n">
        <x:v>0</x:v>
      </x:c>
      <x:c r="M4" s="54" t="n">
        <x:v>0</x:v>
      </x:c>
      <x:c r="N4" s="53" t="n">
        <x:v>1091074</x:v>
      </x:c>
      <x:c r="O4" s="53" t="n">
        <x:v>1744000</x:v>
      </x:c>
    </x:row>
    <x:row r="5" ht="15" hidden="0" customHeight="1">
      <x:c r="A5" s="10" t="n">
        <x:v>202204</x:v>
      </x:c>
      <x:c r="B5" s="10" t="str">
        <x:v>2022-04</x:v>
      </x:c>
      <x:c r="C5" s="10" t="n">
        <x:v>2</x:v>
      </x:c>
      <x:c r="D5" s="10" t="str">
        <x:v>Q02</x:v>
      </x:c>
      <x:c r="E5" s="53" t="n">
        <x:v>0</x:v>
      </x:c>
      <x:c r="F5" s="53" t="n">
        <x:v>0</x:v>
      </x:c>
      <x:c r="G5" s="54" t="n">
        <x:v>0</x:v>
      </x:c>
      <x:c r="H5" s="53" t="n">
        <x:v>0</x:v>
      </x:c>
      <x:c r="I5" s="53" t="n">
        <x:v>0</x:v>
      </x:c>
      <x:c r="J5" s="54" t="n">
        <x:v>0</x:v>
      </x:c>
      <x:c r="K5" s="54" t="n">
        <x:v>0</x:v>
      </x:c>
      <x:c r="L5" s="53" t="n">
        <x:v>259200</x:v>
      </x:c>
      <x:c r="M5" s="54" t="n">
        <x:v>0.52</x:v>
      </x:c>
      <x:c r="N5" s="53" t="n">
        <x:v>-198714</x:v>
      </x:c>
      <x:c r="O5" s="53" t="n">
        <x:v>1545286</x:v>
      </x:c>
    </x:row>
    <x:row r="6" ht="15" hidden="0" customHeight="1">
      <x:c r="A6" s="10" t="n">
        <x:v>202205</x:v>
      </x:c>
      <x:c r="B6" s="10" t="str">
        <x:v>2022-05</x:v>
      </x:c>
      <x:c r="C6" s="10" t="n">
        <x:v>2</x:v>
      </x:c>
      <x:c r="D6" s="10" t="str">
        <x:v>Q02</x:v>
      </x:c>
      <x:c r="E6" s="53" t="n">
        <x:v>0</x:v>
      </x:c>
      <x:c r="F6" s="53" t="n">
        <x:v>0</x:v>
      </x:c>
      <x:c r="G6" s="54" t="n">
        <x:v>0</x:v>
      </x:c>
      <x:c r="H6" s="53" t="n">
        <x:v>0</x:v>
      </x:c>
      <x:c r="I6" s="53" t="n">
        <x:v>0</x:v>
      </x:c>
      <x:c r="J6" s="54" t="n">
        <x:v>0</x:v>
      </x:c>
      <x:c r="K6" s="54" t="n">
        <x:v>0</x:v>
      </x:c>
      <x:c r="L6" s="53" t="n">
        <x:v>263250</x:v>
      </x:c>
      <x:c r="M6" s="54" t="n">
        <x:v>0.008</x:v>
      </x:c>
      <x:c r="N6" s="53" t="n">
        <x:v>-639215</x:v>
      </x:c>
      <x:c r="O6" s="53" t="n">
        <x:v>906071</x:v>
      </x:c>
    </x:row>
    <x:row r="7" ht="15" hidden="0" customHeight="1">
      <x:c r="A7" s="10" t="n">
        <x:v>202206</x:v>
      </x:c>
      <x:c r="B7" s="10" t="str">
        <x:v>2022-06</x:v>
      </x:c>
      <x:c r="C7" s="10" t="n">
        <x:v>2</x:v>
      </x:c>
      <x:c r="D7" s="10" t="str">
        <x:v>Q02</x:v>
      </x:c>
      <x:c r="E7" s="53" t="n">
        <x:v>0</x:v>
      </x:c>
      <x:c r="F7" s="53" t="n">
        <x:v>0</x:v>
      </x:c>
      <x:c r="G7" s="54" t="n">
        <x:v>0</x:v>
      </x:c>
      <x:c r="H7" s="53" t="n">
        <x:v>0</x:v>
      </x:c>
      <x:c r="I7" s="53" t="n">
        <x:v>0</x:v>
      </x:c>
      <x:c r="J7" s="54" t="n">
        <x:v>0</x:v>
      </x:c>
      <x:c r="K7" s="54" t="n">
        <x:v>0</x:v>
      </x:c>
      <x:c r="L7" s="53" t="n">
        <x:v>263250</x:v>
      </x:c>
      <x:c r="M7" s="54" t="n">
        <x:v>0</x:v>
      </x:c>
      <x:c r="N7" s="53" t="n">
        <x:v>-389555</x:v>
      </x:c>
      <x:c r="O7" s="53" t="n">
        <x:v>516516</x:v>
      </x:c>
    </x:row>
    <x:row r="8" ht="15" hidden="0" customHeight="1">
      <x:c r="A8" s="10" t="n">
        <x:v>202207</x:v>
      </x:c>
      <x:c r="B8" s="10" t="str">
        <x:v>2022-07</x:v>
      </x:c>
      <x:c r="C8" s="10" t="n">
        <x:v>3</x:v>
      </x:c>
      <x:c r="D8" s="10" t="str">
        <x:v>Q03</x:v>
      </x:c>
      <x:c r="E8" s="53" t="n">
        <x:v>0</x:v>
      </x:c>
      <x:c r="F8" s="53" t="n">
        <x:v>0</x:v>
      </x:c>
      <x:c r="G8" s="54" t="n">
        <x:v>0</x:v>
      </x:c>
      <x:c r="H8" s="53" t="n">
        <x:v>0</x:v>
      </x:c>
      <x:c r="I8" s="53" t="n">
        <x:v>0</x:v>
      </x:c>
      <x:c r="J8" s="54" t="n">
        <x:v>0</x:v>
      </x:c>
      <x:c r="K8" s="54" t="n">
        <x:v>0</x:v>
      </x:c>
      <x:c r="L8" s="53" t="n">
        <x:v>263250</x:v>
      </x:c>
      <x:c r="M8" s="54" t="n">
        <x:v>0</x:v>
      </x:c>
      <x:c r="N8" s="53" t="n">
        <x:v>-120101</x:v>
      </x:c>
      <x:c r="O8" s="53" t="n">
        <x:v>396415</x:v>
      </x:c>
    </x:row>
    <x:row r="9" ht="15" hidden="0" customHeight="1">
      <x:c r="A9" s="10" t="n">
        <x:v>202208</x:v>
      </x:c>
      <x:c r="B9" s="10" t="str">
        <x:v>2022-08</x:v>
      </x:c>
      <x:c r="C9" s="10" t="n">
        <x:v>3</x:v>
      </x:c>
      <x:c r="D9" s="10" t="str">
        <x:v>Q03</x:v>
      </x:c>
      <x:c r="E9" s="53" t="n">
        <x:v>0</x:v>
      </x:c>
      <x:c r="F9" s="53" t="n">
        <x:v>0</x:v>
      </x:c>
      <x:c r="G9" s="54" t="n">
        <x:v>0</x:v>
      </x:c>
      <x:c r="H9" s="53" t="n">
        <x:v>0</x:v>
      </x:c>
      <x:c r="I9" s="53" t="n">
        <x:v>0</x:v>
      </x:c>
      <x:c r="J9" s="54" t="n">
        <x:v>0</x:v>
      </x:c>
      <x:c r="K9" s="54" t="n">
        <x:v>0</x:v>
      </x:c>
      <x:c r="L9" s="53" t="n">
        <x:v>263250</x:v>
      </x:c>
      <x:c r="M9" s="54" t="n">
        <x:v>0</x:v>
      </x:c>
      <x:c r="N9" s="53" t="n">
        <x:v>-121566</x:v>
      </x:c>
      <x:c r="O9" s="53" t="n">
        <x:v>274849</x:v>
      </x:c>
    </x:row>
    <x:row r="10" ht="15" hidden="0" customHeight="1">
      <x:c r="A10" s="10" t="n">
        <x:v>202209</x:v>
      </x:c>
      <x:c r="B10" s="10" t="str">
        <x:v>2022-09</x:v>
      </x:c>
      <x:c r="C10" s="10" t="n">
        <x:v>3</x:v>
      </x:c>
      <x:c r="D10" s="10" t="str">
        <x:v>Q03</x:v>
      </x:c>
      <x:c r="E10" s="53" t="n">
        <x:v>0</x:v>
      </x:c>
      <x:c r="F10" s="53" t="n">
        <x:v>0</x:v>
      </x:c>
      <x:c r="G10" s="54" t="n">
        <x:v>0</x:v>
      </x:c>
      <x:c r="H10" s="53" t="n">
        <x:v>0</x:v>
      </x:c>
      <x:c r="I10" s="53" t="n">
        <x:v>0</x:v>
      </x:c>
      <x:c r="J10" s="54" t="n">
        <x:v>0</x:v>
      </x:c>
      <x:c r="K10" s="54" t="n">
        <x:v>0</x:v>
      </x:c>
      <x:c r="L10" s="53" t="n">
        <x:v>263250</x:v>
      </x:c>
      <x:c r="M10" s="54" t="n">
        <x:v>0</x:v>
      </x:c>
      <x:c r="N10" s="53" t="n">
        <x:v>-160069</x:v>
      </x:c>
      <x:c r="O10" s="53" t="n">
        <x:v>114780</x:v>
      </x:c>
    </x:row>
    <x:row r="11" ht="15" hidden="0" customHeight="1">
      <x:c r="A11" s="10" t="n">
        <x:v>202210</x:v>
      </x:c>
      <x:c r="B11" s="10" t="str">
        <x:v>2022-10</x:v>
      </x:c>
      <x:c r="C11" s="10" t="n">
        <x:v>4</x:v>
      </x:c>
      <x:c r="D11" s="10" t="str">
        <x:v>Q04</x:v>
      </x:c>
      <x:c r="E11" s="53" t="n">
        <x:v>0</x:v>
      </x:c>
      <x:c r="F11" s="53" t="n">
        <x:v>0</x:v>
      </x:c>
      <x:c r="G11" s="54" t="n">
        <x:v>0</x:v>
      </x:c>
      <x:c r="H11" s="53" t="n">
        <x:v>0</x:v>
      </x:c>
      <x:c r="I11" s="53" t="n">
        <x:v>0</x:v>
      </x:c>
      <x:c r="J11" s="54" t="n">
        <x:v>0</x:v>
      </x:c>
      <x:c r="K11" s="54" t="n">
        <x:v>0</x:v>
      </x:c>
      <x:c r="L11" s="53" t="n">
        <x:v>263250</x:v>
      </x:c>
      <x:c r="M11" s="54" t="n">
        <x:v>0</x:v>
      </x:c>
      <x:c r="N11" s="53" t="n">
        <x:v>0</x:v>
      </x:c>
      <x:c r="O11" s="53" t="n">
        <x:v>114780</x:v>
      </x:c>
    </x:row>
    <x:row r="12" ht="15" hidden="0" customHeight="1">
      <x:c r="A12" s="10" t="n">
        <x:v>202211</x:v>
      </x:c>
      <x:c r="B12" s="10" t="str">
        <x:v>2022-11</x:v>
      </x:c>
      <x:c r="C12" s="10" t="n">
        <x:v>4</x:v>
      </x:c>
      <x:c r="D12" s="10" t="str">
        <x:v>Q04</x:v>
      </x:c>
      <x:c r="E12" s="53" t="n">
        <x:v>0</x:v>
      </x:c>
      <x:c r="F12" s="53" t="n">
        <x:v>0</x:v>
      </x:c>
      <x:c r="G12" s="54" t="n">
        <x:v>0</x:v>
      </x:c>
      <x:c r="H12" s="53" t="n">
        <x:v>0</x:v>
      </x:c>
      <x:c r="I12" s="53" t="n">
        <x:v>0</x:v>
      </x:c>
      <x:c r="J12" s="54" t="n">
        <x:v>0</x:v>
      </x:c>
      <x:c r="K12" s="54" t="n">
        <x:v>0</x:v>
      </x:c>
      <x:c r="L12" s="53" t="n">
        <x:v>263250</x:v>
      </x:c>
      <x:c r="M12" s="54" t="n">
        <x:v>0</x:v>
      </x:c>
      <x:c r="N12" s="53" t="n">
        <x:v>0</x:v>
      </x:c>
      <x:c r="O12" s="53" t="n">
        <x:v>114780</x:v>
      </x:c>
    </x:row>
    <x:row r="13" ht="15" hidden="0" customHeight="1">
      <x:c r="A13" s="10" t="n">
        <x:v>202212</x:v>
      </x:c>
      <x:c r="B13" s="10" t="str">
        <x:v>2022-12</x:v>
      </x:c>
      <x:c r="C13" s="10" t="n">
        <x:v>4</x:v>
      </x:c>
      <x:c r="D13" s="10" t="str">
        <x:v>Q04</x:v>
      </x:c>
      <x:c r="E13" s="53" t="n">
        <x:v>0</x:v>
      </x:c>
      <x:c r="F13" s="53" t="n">
        <x:v>0</x:v>
      </x:c>
      <x:c r="G13" s="54" t="n">
        <x:v>0</x:v>
      </x:c>
      <x:c r="H13" s="53" t="n">
        <x:v>0</x:v>
      </x:c>
      <x:c r="I13" s="53" t="n">
        <x:v>0</x:v>
      </x:c>
      <x:c r="J13" s="54" t="n">
        <x:v>0</x:v>
      </x:c>
      <x:c r="K13" s="54" t="n">
        <x:v>0</x:v>
      </x:c>
      <x:c r="L13" s="53" t="n">
        <x:v>263250</x:v>
      </x:c>
      <x:c r="M13" s="54" t="n">
        <x:v>0</x:v>
      </x:c>
      <x:c r="N13" s="53" t="n">
        <x:v>0</x:v>
      </x:c>
      <x:c r="O13" s="53" t="n">
        <x:v>114780</x:v>
      </x:c>
    </x:row>
    <x:row r="14" ht="15" hidden="0" customHeight="1">
      <x:c r="A14" s="10" t="n">
        <x:v>202301</x:v>
      </x:c>
      <x:c r="B14" s="10" t="str">
        <x:v>2023-01</x:v>
      </x:c>
      <x:c r="C14" s="10" t="n">
        <x:v>5</x:v>
      </x:c>
      <x:c r="D14" s="10" t="str">
        <x:v>Q05</x:v>
      </x:c>
      <x:c r="E14" s="53" t="n">
        <x:v>549427</x:v>
      </x:c>
      <x:c r="F14" s="53" t="n">
        <x:v>162117.45</x:v>
      </x:c>
      <x:c r="G14" s="54" t="n">
        <x:v>0.2951</x:v>
      </x:c>
      <x:c r="H14" s="53" t="n">
        <x:v>200</x:v>
      </x:c>
      <x:c r="I14" s="53" t="n">
        <x:v>200</x:v>
      </x:c>
      <x:c r="J14" s="54" t="n">
        <x:v>1</x:v>
      </x:c>
      <x:c r="K14" s="54" t="n">
        <x:v>1</x:v>
      </x:c>
      <x:c r="L14" s="53" t="n">
        <x:v>255560</x:v>
      </x:c>
      <x:c r="M14" s="54" t="n">
        <x:v>0.6667</x:v>
      </x:c>
      <x:c r="N14" s="53" t="n">
        <x:v>79323</x:v>
      </x:c>
      <x:c r="O14" s="53" t="n">
        <x:v>194103</x:v>
      </x:c>
    </x:row>
    <x:row r="15" ht="15" hidden="0" customHeight="1">
      <x:c r="A15" s="10" t="n">
        <x:v>202302</x:v>
      </x:c>
      <x:c r="B15" s="10" t="str">
        <x:v>2023-02</x:v>
      </x:c>
      <x:c r="C15" s="10" t="n">
        <x:v>5</x:v>
      </x:c>
      <x:c r="D15" s="10" t="str">
        <x:v>Q05</x:v>
      </x:c>
      <x:c r="E15" s="53" t="n">
        <x:v>609877</x:v>
      </x:c>
      <x:c r="F15" s="53" t="n">
        <x:v>143924.3</x:v>
      </x:c>
      <x:c r="G15" s="54" t="n">
        <x:v>0.236</x:v>
      </x:c>
      <x:c r="H15" s="53" t="n">
        <x:v>222</x:v>
      </x:c>
      <x:c r="I15" s="53" t="n">
        <x:v>222</x:v>
      </x:c>
      <x:c r="J15" s="54" t="n">
        <x:v>1</x:v>
      </x:c>
      <x:c r="K15" s="54" t="n">
        <x:v>0.875</x:v>
      </x:c>
      <x:c r="L15" s="53" t="n">
        <x:v>254740</x:v>
      </x:c>
      <x:c r="M15" s="54" t="n">
        <x:v>0.7533</x:v>
      </x:c>
      <x:c r="N15" s="53" t="n">
        <x:v>36544</x:v>
      </x:c>
      <x:c r="O15" s="53" t="n">
        <x:v>230647</x:v>
      </x:c>
    </x:row>
    <x:row r="16" ht="15" hidden="0" customHeight="1">
      <x:c r="A16" s="10" t="n">
        <x:v>202303</x:v>
      </x:c>
      <x:c r="B16" s="10" t="str">
        <x:v>2023-03</x:v>
      </x:c>
      <x:c r="C16" s="10" t="n">
        <x:v>5</x:v>
      </x:c>
      <x:c r="D16" s="10" t="str">
        <x:v>Q05</x:v>
      </x:c>
      <x:c r="E16" s="53" t="n">
        <x:v>643196</x:v>
      </x:c>
      <x:c r="F16" s="53" t="n">
        <x:v>195952.94</x:v>
      </x:c>
      <x:c r="G16" s="54" t="n">
        <x:v>0.3047</x:v>
      </x:c>
      <x:c r="H16" s="53" t="n">
        <x:v>234</x:v>
      </x:c>
      <x:c r="I16" s="53" t="n">
        <x:v>234</x:v>
      </x:c>
      <x:c r="J16" s="54" t="n">
        <x:v>1</x:v>
      </x:c>
      <x:c r="K16" s="54" t="n">
        <x:v>1</x:v>
      </x:c>
      <x:c r="L16" s="53" t="n">
        <x:v>255560</x:v>
      </x:c>
      <x:c r="M16" s="54" t="n">
        <x:v>0.7933</x:v>
      </x:c>
      <x:c r="N16" s="53" t="n">
        <x:v>-85902</x:v>
      </x:c>
      <x:c r="O16" s="53" t="n">
        <x:v>144745</x:v>
      </x:c>
    </x:row>
    <x:row r="17" ht="15" hidden="0" customHeight="1">
      <x:c r="A17" s="10" t="n">
        <x:v>202304</x:v>
      </x:c>
      <x:c r="B17" s="10" t="str">
        <x:v>2023-04</x:v>
      </x:c>
      <x:c r="C17" s="10" t="n">
        <x:v>6</x:v>
      </x:c>
      <x:c r="D17" s="10" t="str">
        <x:v>Q06</x:v>
      </x:c>
      <x:c r="E17" s="53" t="n">
        <x:v>380626</x:v>
      </x:c>
      <x:c r="F17" s="53" t="n">
        <x:v>111766.13</x:v>
      </x:c>
      <x:c r="G17" s="54" t="n">
        <x:v>0.2936</x:v>
      </x:c>
      <x:c r="H17" s="53" t="n">
        <x:v>138</x:v>
      </x:c>
      <x:c r="I17" s="53" t="n">
        <x:v>138</x:v>
      </x:c>
      <x:c r="J17" s="54" t="n">
        <x:v>1</x:v>
      </x:c>
      <x:c r="K17" s="54" t="n">
        <x:v>0.875</x:v>
      </x:c>
      <x:c r="L17" s="53" t="n">
        <x:v>257380</x:v>
      </x:c>
      <x:c r="M17" s="54" t="n">
        <x:v>0.4581</x:v>
      </x:c>
      <x:c r="N17" s="53" t="n">
        <x:v>-102975</x:v>
      </x:c>
      <x:c r="O17" s="53" t="n">
        <x:v>41770</x:v>
      </x:c>
    </x:row>
    <x:row r="18" ht="15" hidden="0" customHeight="1">
      <x:c r="A18" s="10" t="n">
        <x:v>202305</x:v>
      </x:c>
      <x:c r="B18" s="10" t="str">
        <x:v>2023-05</x:v>
      </x:c>
      <x:c r="C18" s="10" t="n">
        <x:v>6</x:v>
      </x:c>
      <x:c r="D18" s="10" t="str">
        <x:v>Q06</x:v>
      </x:c>
      <x:c r="E18" s="53" t="n">
        <x:v>425073</x:v>
      </x:c>
      <x:c r="F18" s="53" t="n">
        <x:v>108076.2</x:v>
      </x:c>
      <x:c r="G18" s="54" t="n">
        <x:v>0.2543</x:v>
      </x:c>
      <x:c r="H18" s="53" t="n">
        <x:v>154</x:v>
      </x:c>
      <x:c r="I18" s="53" t="n">
        <x:v>154</x:v>
      </x:c>
      <x:c r="J18" s="54" t="n">
        <x:v>1</x:v>
      </x:c>
      <x:c r="K18" s="54" t="n">
        <x:v>1</x:v>
      </x:c>
      <x:c r="L18" s="53" t="n">
        <x:v>256970</x:v>
      </x:c>
      <x:c r="M18" s="54" t="n">
        <x:v>0.5065</x:v>
      </x:c>
      <x:c r="N18" s="53" t="n">
        <x:v>55352</x:v>
      </x:c>
      <x:c r="O18" s="53" t="n">
        <x:v>97122</x:v>
      </x:c>
    </x:row>
    <x:row r="19" ht="15" hidden="0" customHeight="1">
      <x:c r="A19" s="10" t="n">
        <x:v>202306</x:v>
      </x:c>
      <x:c r="B19" s="10" t="str">
        <x:v>2023-06</x:v>
      </x:c>
      <x:c r="C19" s="10" t="n">
        <x:v>6</x:v>
      </x:c>
      <x:c r="D19" s="10" t="str">
        <x:v>Q06</x:v>
      </x:c>
      <x:c r="E19" s="53" t="n">
        <x:v>491701</x:v>
      </x:c>
      <x:c r="F19" s="53" t="n">
        <x:v>140829.29</x:v>
      </x:c>
      <x:c r="G19" s="54" t="n">
        <x:v>0.2864</x:v>
      </x:c>
      <x:c r="H19" s="53" t="n">
        <x:v>179</x:v>
      </x:c>
      <x:c r="I19" s="53" t="n">
        <x:v>179</x:v>
      </x:c>
      <x:c r="J19" s="54" t="n">
        <x:v>1</x:v>
      </x:c>
      <x:c r="K19" s="54" t="n">
        <x:v>0.875</x:v>
      </x:c>
      <x:c r="L19" s="53" t="n">
        <x:v>257380</x:v>
      </x:c>
      <x:c r="M19" s="54" t="n">
        <x:v>0.5871</x:v>
      </x:c>
      <x:c r="N19" s="53" t="n">
        <x:v>229338</x:v>
      </x:c>
      <x:c r="O19" s="53" t="n">
        <x:v>326460</x:v>
      </x:c>
    </x:row>
    <x:row r="20" ht="15" hidden="0" customHeight="1">
      <x:c r="A20" s="10" t="n">
        <x:v>202307</x:v>
      </x:c>
      <x:c r="B20" s="10" t="str">
        <x:v>2023-07</x:v>
      </x:c>
      <x:c r="C20" s="10" t="n">
        <x:v>7</x:v>
      </x:c>
      <x:c r="D20" s="10" t="str">
        <x:v>Q07</x:v>
      </x:c>
      <x:c r="E20" s="53" t="n">
        <x:v>0</x:v>
      </x:c>
      <x:c r="F20" s="53" t="n">
        <x:v>0</x:v>
      </x:c>
      <x:c r="G20" s="54" t="n">
        <x:v>0</x:v>
      </x:c>
      <x:c r="H20" s="53" t="n">
        <x:v>0</x:v>
      </x:c>
      <x:c r="I20" s="53" t="n">
        <x:v>0</x:v>
      </x:c>
      <x:c r="J20" s="54" t="n">
        <x:v>0</x:v>
      </x:c>
      <x:c r="K20" s="54" t="n">
        <x:v>0</x:v>
      </x:c>
      <x:c r="L20" s="53" t="n">
        <x:v>263250</x:v>
      </x:c>
      <x:c r="M20" s="54" t="n">
        <x:v>0.0091</x:v>
      </x:c>
      <x:c r="N20" s="53" t="n">
        <x:v>-87820</x:v>
      </x:c>
      <x:c r="O20" s="53" t="n">
        <x:v>238640</x:v>
      </x:c>
    </x:row>
    <x:row r="21" ht="15" hidden="0" customHeight="1">
      <x:c r="A21" s="10" t="n">
        <x:v>202308</x:v>
      </x:c>
      <x:c r="B21" s="10" t="str">
        <x:v>2023-08</x:v>
      </x:c>
      <x:c r="C21" s="10" t="n">
        <x:v>7</x:v>
      </x:c>
      <x:c r="D21" s="10" t="str">
        <x:v>Q07</x:v>
      </x:c>
      <x:c r="E21" s="53" t="n">
        <x:v>0</x:v>
      </x:c>
      <x:c r="F21" s="53" t="n">
        <x:v>0</x:v>
      </x:c>
      <x:c r="G21" s="54" t="n">
        <x:v>0</x:v>
      </x:c>
      <x:c r="H21" s="53" t="n">
        <x:v>0</x:v>
      </x:c>
      <x:c r="I21" s="53" t="n">
        <x:v>0</x:v>
      </x:c>
      <x:c r="J21" s="54" t="n">
        <x:v>0</x:v>
      </x:c>
      <x:c r="K21" s="54" t="n">
        <x:v>0</x:v>
      </x:c>
      <x:c r="L21" s="53" t="n">
        <x:v>263250</x:v>
      </x:c>
      <x:c r="M21" s="54" t="n">
        <x:v>0</x:v>
      </x:c>
      <x:c r="N21" s="53" t="n">
        <x:v>-96699</x:v>
      </x:c>
      <x:c r="O21" s="53" t="n">
        <x:v>141941</x:v>
      </x:c>
    </x:row>
    <x:row r="22" ht="15" hidden="0" customHeight="1">
      <x:c r="A22" s="10" t="n">
        <x:v>202309</x:v>
      </x:c>
      <x:c r="B22" s="10" t="str">
        <x:v>2023-09</x:v>
      </x:c>
      <x:c r="C22" s="10" t="n">
        <x:v>7</x:v>
      </x:c>
      <x:c r="D22" s="10" t="str">
        <x:v>Q07</x:v>
      </x:c>
      <x:c r="E22" s="53" t="n">
        <x:v>0</x:v>
      </x:c>
      <x:c r="F22" s="53" t="n">
        <x:v>0</x:v>
      </x:c>
      <x:c r="G22" s="54" t="n">
        <x:v>0</x:v>
      </x:c>
      <x:c r="H22" s="53" t="n">
        <x:v>0</x:v>
      </x:c>
      <x:c r="I22" s="53" t="n">
        <x:v>0</x:v>
      </x:c>
      <x:c r="J22" s="54" t="n">
        <x:v>0</x:v>
      </x:c>
      <x:c r="K22" s="54" t="n">
        <x:v>0</x:v>
      </x:c>
      <x:c r="L22" s="53" t="n">
        <x:v>263250</x:v>
      </x:c>
      <x:c r="M22" s="54" t="n">
        <x:v>0</x:v>
      </x:c>
      <x:c r="N22" s="53" t="n">
        <x:v>-79258</x:v>
      </x:c>
      <x:c r="O22" s="53" t="n">
        <x:v>62683</x:v>
      </x:c>
    </x:row>
    <x:row r="23" ht="15" hidden="0" customHeight="1">
      <x:c r="A23" s="10" t="n">
        <x:v>202310</x:v>
      </x:c>
      <x:c r="B23" s="10" t="str">
        <x:v>2023-10</x:v>
      </x:c>
      <x:c r="C23" s="10" t="n">
        <x:v>8</x:v>
      </x:c>
      <x:c r="D23" s="10" t="str">
        <x:v>Q08</x:v>
      </x:c>
      <x:c r="E23" s="53" t="n">
        <x:v>676859</x:v>
      </x:c>
      <x:c r="F23" s="53" t="n">
        <x:v>201263.51</x:v>
      </x:c>
      <x:c r="G23" s="54" t="n">
        <x:v>0.2973</x:v>
      </x:c>
      <x:c r="H23" s="53" t="n">
        <x:v>246</x:v>
      </x:c>
      <x:c r="I23" s="53" t="n">
        <x:v>246</x:v>
      </x:c>
      <x:c r="J23" s="54" t="n">
        <x:v>1</x:v>
      </x:c>
      <x:c r="K23" s="54" t="n">
        <x:v>0.875</x:v>
      </x:c>
      <x:c r="L23" s="53" t="n">
        <x:v>257380</x:v>
      </x:c>
      <x:c r="M23" s="54" t="n">
        <x:v>0.6308</x:v>
      </x:c>
      <x:c r="N23" s="53" t="n">
        <x:v>-53249</x:v>
      </x:c>
      <x:c r="O23" s="53" t="n">
        <x:v>9434</x:v>
      </x:c>
    </x:row>
    <x:row r="24" ht="15" hidden="0" customHeight="1">
      <x:c r="A24" s="10" t="n">
        <x:v>202311</x:v>
      </x:c>
      <x:c r="B24" s="10" t="str">
        <x:v>2023-11</x:v>
      </x:c>
      <x:c r="C24" s="10" t="n">
        <x:v>8</x:v>
      </x:c>
      <x:c r="D24" s="10" t="str">
        <x:v>Q08</x:v>
      </x:c>
      <x:c r="E24" s="53" t="n">
        <x:v>829194</x:v>
      </x:c>
      <x:c r="F24" s="53" t="n">
        <x:v>269634.59</x:v>
      </x:c>
      <x:c r="G24" s="54" t="n">
        <x:v>0.3252</x:v>
      </x:c>
      <x:c r="H24" s="53" t="n">
        <x:v>301</x:v>
      </x:c>
      <x:c r="I24" s="53" t="n">
        <x:v>301</x:v>
      </x:c>
      <x:c r="J24" s="54" t="n">
        <x:v>1</x:v>
      </x:c>
      <x:c r="K24" s="54" t="n">
        <x:v>1</x:v>
      </x:c>
      <x:c r="L24" s="53" t="n">
        <x:v>253740</x:v>
      </x:c>
      <x:c r="M24" s="54" t="n">
        <x:v>0.7795</x:v>
      </x:c>
      <x:c r="N24" s="53" t="n">
        <x:v>139393</x:v>
      </x:c>
      <x:c r="O24" s="53" t="n">
        <x:v>148827</x:v>
      </x:c>
    </x:row>
    <x:row r="25" ht="15" hidden="0" customHeight="1">
      <x:c r="A25" s="10" t="n">
        <x:v>202312</x:v>
      </x:c>
      <x:c r="B25" s="10" t="str">
        <x:v>2023-12</x:v>
      </x:c>
      <x:c r="C25" s="10" t="n">
        <x:v>8</x:v>
      </x:c>
      <x:c r="D25" s="10" t="str">
        <x:v>Q08</x:v>
      </x:c>
      <x:c r="E25" s="53" t="n">
        <x:v>943947</x:v>
      </x:c>
      <x:c r="F25" s="53" t="n">
        <x:v>261786</x:v>
      </x:c>
      <x:c r="G25" s="54" t="n">
        <x:v>0.2773</x:v>
      </x:c>
      <x:c r="H25" s="53" t="n">
        <x:v>343</x:v>
      </x:c>
      <x:c r="I25" s="53" t="n">
        <x:v>343</x:v>
      </x:c>
      <x:c r="J25" s="54" t="n">
        <x:v>1</x:v>
      </x:c>
      <x:c r="K25" s="54" t="n">
        <x:v>0.875</x:v>
      </x:c>
      <x:c r="L25" s="53" t="n">
        <x:v>447950</x:v>
      </x:c>
      <x:c r="M25" s="54" t="n">
        <x:v>1</x:v>
      </x:c>
      <x:c r="N25" s="53" t="n">
        <x:v>14208</x:v>
      </x:c>
      <x:c r="O25" s="53" t="n">
        <x:v>163035</x:v>
      </x:c>
    </x:row>
    <x:row r="26" ht="15" hidden="0" customHeight="1">
      <x:c r="A26" s="10" t="n">
        <x:v>202401</x:v>
      </x:c>
      <x:c r="B26" s="10" t="str">
        <x:v>2024-01</x:v>
      </x:c>
      <x:c r="C26" s="10" t="n">
        <x:v>9</x:v>
      </x:c>
      <x:c r="D26" s="10" t="str">
        <x:v>Q09</x:v>
      </x:c>
      <x:c r="E26" s="53" t="n">
        <x:v>636814</x:v>
      </x:c>
      <x:c r="F26" s="53" t="n">
        <x:v>178235.37</x:v>
      </x:c>
      <x:c r="G26" s="54" t="n">
        <x:v>0.2799</x:v>
      </x:c>
      <x:c r="H26" s="53" t="n">
        <x:v>166</x:v>
      </x:c>
      <x:c r="I26" s="53" t="n">
        <x:v>166</x:v>
      </x:c>
      <x:c r="J26" s="54" t="n">
        <x:v>1</x:v>
      </x:c>
      <x:c r="K26" s="54" t="n">
        <x:v>0.9375</x:v>
      </x:c>
      <x:c r="L26" s="53" t="n">
        <x:v>565880</x:v>
      </x:c>
      <x:c r="M26" s="54" t="n">
        <x:v>0.446</x:v>
      </x:c>
      <x:c r="N26" s="53" t="n">
        <x:v>-11472</x:v>
      </x:c>
      <x:c r="O26" s="53" t="n">
        <x:v>151563</x:v>
      </x:c>
    </x:row>
    <x:row r="27" ht="15" hidden="0" customHeight="1">
      <x:c r="A27" s="10" t="n">
        <x:v>202402</x:v>
      </x:c>
      <x:c r="B27" s="10" t="str">
        <x:v>2024-02</x:v>
      </x:c>
      <x:c r="C27" s="10" t="n">
        <x:v>9</x:v>
      </x:c>
      <x:c r="D27" s="10" t="str">
        <x:v>Q09</x:v>
      </x:c>
      <x:c r="E27" s="53" t="n">
        <x:v>614207</x:v>
      </x:c>
      <x:c r="F27" s="53" t="n">
        <x:v>151246.15</x:v>
      </x:c>
      <x:c r="G27" s="54" t="n">
        <x:v>0.2462</x:v>
      </x:c>
      <x:c r="H27" s="53" t="n">
        <x:v>159</x:v>
      </x:c>
      <x:c r="I27" s="53" t="n">
        <x:v>159</x:v>
      </x:c>
      <x:c r="J27" s="54" t="n">
        <x:v>1</x:v>
      </x:c>
      <x:c r="K27" s="54" t="n">
        <x:v>0.875</x:v>
      </x:c>
      <x:c r="L27" s="53" t="n">
        <x:v>565880</x:v>
      </x:c>
      <x:c r="M27" s="54" t="n">
        <x:v>0.326</x:v>
      </x:c>
      <x:c r="N27" s="53" t="n">
        <x:v>30555</x:v>
      </x:c>
      <x:c r="O27" s="53" t="n">
        <x:v>182118</x:v>
      </x:c>
    </x:row>
    <x:row r="28" ht="15" hidden="0" customHeight="1">
      <x:c r="A28" s="10" t="n">
        <x:v>202403</x:v>
      </x:c>
      <x:c r="B28" s="10" t="str">
        <x:v>2024-03</x:v>
      </x:c>
      <x:c r="C28" s="10" t="n">
        <x:v>9</x:v>
      </x:c>
      <x:c r="D28" s="10" t="str">
        <x:v>Q09</x:v>
      </x:c>
      <x:c r="E28" s="53" t="n">
        <x:v>744279</x:v>
      </x:c>
      <x:c r="F28" s="53" t="n">
        <x:v>201675.54</x:v>
      </x:c>
      <x:c r="G28" s="54" t="n">
        <x:v>0.271</x:v>
      </x:c>
      <x:c r="H28" s="53" t="n">
        <x:v>193</x:v>
      </x:c>
      <x:c r="I28" s="53" t="n">
        <x:v>193</x:v>
      </x:c>
      <x:c r="J28" s="54" t="n">
        <x:v>1</x:v>
      </x:c>
      <x:c r="K28" s="54" t="n">
        <x:v>0.875</x:v>
      </x:c>
      <x:c r="L28" s="53" t="n">
        <x:v>566290</x:v>
      </x:c>
      <x:c r="M28" s="54" t="n">
        <x:v>0.394</x:v>
      </x:c>
      <x:c r="N28" s="53" t="n">
        <x:v>-135175</x:v>
      </x:c>
      <x:c r="O28" s="53" t="n">
        <x:v>46943</x:v>
      </x:c>
    </x:row>
    <x:row r="29" ht="15" hidden="0" customHeight="1">
      <x:c r="A29" s="10" t="n">
        <x:v>202404</x:v>
      </x:c>
      <x:c r="B29" s="10" t="str">
        <x:v>2024-04</x:v>
      </x:c>
      <x:c r="C29" s="10" t="n">
        <x:v>10</x:v>
      </x:c>
      <x:c r="D29" s="10" t="str">
        <x:v>Q10</x:v>
      </x:c>
      <x:c r="E29" s="53" t="n">
        <x:v>1213115</x:v>
      </x:c>
      <x:c r="F29" s="53" t="n">
        <x:v>371720.73</x:v>
      </x:c>
      <x:c r="G29" s="54" t="n">
        <x:v>0.3064</x:v>
      </x:c>
      <x:c r="H29" s="53" t="n">
        <x:v>264</x:v>
      </x:c>
      <x:c r="I29" s="53" t="n">
        <x:v>264</x:v>
      </x:c>
      <x:c r="J29" s="54" t="n">
        <x:v>1</x:v>
      </x:c>
      <x:c r="K29" s="54" t="n">
        <x:v>0.875</x:v>
      </x:c>
      <x:c r="L29" s="53" t="n">
        <x:v>560480</x:v>
      </x:c>
      <x:c r="M29" s="54" t="n">
        <x:v>0.4963</x:v>
      </x:c>
      <x:c r="N29" s="53" t="n">
        <x:v>-3346</x:v>
      </x:c>
      <x:c r="O29" s="53" t="n">
        <x:v>43597</x:v>
      </x:c>
    </x:row>
    <x:row r="30" ht="15" hidden="0" customHeight="1">
      <x:c r="A30" s="10" t="n">
        <x:v>202405</x:v>
      </x:c>
      <x:c r="B30" s="10" t="str">
        <x:v>2024-05</x:v>
      </x:c>
      <x:c r="C30" s="10" t="n">
        <x:v>10</x:v>
      </x:c>
      <x:c r="D30" s="10" t="str">
        <x:v>Q10</x:v>
      </x:c>
      <x:c r="E30" s="53" t="n">
        <x:v>1454005</x:v>
      </x:c>
      <x:c r="F30" s="53" t="n">
        <x:v>446532.41</x:v>
      </x:c>
      <x:c r="G30" s="54" t="n">
        <x:v>0.3071</x:v>
      </x:c>
      <x:c r="H30" s="53" t="n">
        <x:v>317</x:v>
      </x:c>
      <x:c r="I30" s="53" t="n">
        <x:v>317</x:v>
      </x:c>
      <x:c r="J30" s="54" t="n">
        <x:v>1</x:v>
      </x:c>
      <x:c r="K30" s="54" t="n">
        <x:v>1</x:v>
      </x:c>
      <x:c r="L30" s="53" t="n">
        <x:v>560480</x:v>
      </x:c>
      <x:c r="M30" s="54" t="n">
        <x:v>0.5963</x:v>
      </x:c>
      <x:c r="N30" s="53" t="n">
        <x:v>170018</x:v>
      </x:c>
      <x:c r="O30" s="53" t="n">
        <x:v>213615</x:v>
      </x:c>
    </x:row>
    <x:row r="31" ht="15" hidden="0" customHeight="1">
      <x:c r="A31" s="10" t="n">
        <x:v>202406</x:v>
      </x:c>
      <x:c r="B31" s="10" t="str">
        <x:v>2024-06</x:v>
      </x:c>
      <x:c r="C31" s="10" t="n">
        <x:v>10</x:v>
      </x:c>
      <x:c r="D31" s="10" t="str">
        <x:v>Q10</x:v>
      </x:c>
      <x:c r="E31" s="53" t="n">
        <x:v>1832880</x:v>
      </x:c>
      <x:c r="F31" s="53" t="n">
        <x:v>509269.44</x:v>
      </x:c>
      <x:c r="G31" s="54" t="n">
        <x:v>0.2779</x:v>
      </x:c>
      <x:c r="H31" s="53" t="n">
        <x:v>399</x:v>
      </x:c>
      <x:c r="I31" s="53" t="n">
        <x:v>399</x:v>
      </x:c>
      <x:c r="J31" s="54" t="n">
        <x:v>1</x:v>
      </x:c>
      <x:c r="K31" s="54" t="n">
        <x:v>0.9</x:v>
      </x:c>
      <x:c r="L31" s="53" t="n">
        <x:v>553510</x:v>
      </x:c>
      <x:c r="M31" s="54" t="n">
        <x:v>0.7481</x:v>
      </x:c>
      <x:c r="N31" s="53" t="n">
        <x:v>109579</x:v>
      </x:c>
      <x:c r="O31" s="53" t="n">
        <x:v>323194</x:v>
      </x:c>
    </x:row>
    <x:row r="32" ht="15" hidden="0" customHeight="1">
      <x:c r="A32" s="10" t="n">
        <x:v>202407</x:v>
      </x:c>
      <x:c r="B32" s="10" t="str">
        <x:v>2024-07</x:v>
      </x:c>
      <x:c r="C32" s="10" t="n">
        <x:v>11</x:v>
      </x:c>
      <x:c r="D32" s="10" t="str">
        <x:v>Q11</x:v>
      </x:c>
      <x:c r="E32" s="53" t="n">
        <x:v>1266745</x:v>
      </x:c>
      <x:c r="F32" s="53" t="n">
        <x:v>358023.54</x:v>
      </x:c>
      <x:c r="G32" s="54" t="n">
        <x:v>0.2826</x:v>
      </x:c>
      <x:c r="H32" s="53" t="n">
        <x:v>460</x:v>
      </x:c>
      <x:c r="I32" s="53" t="n">
        <x:v>460</x:v>
      </x:c>
      <x:c r="J32" s="54" t="n">
        <x:v>1</x:v>
      </x:c>
      <x:c r="K32" s="54" t="n">
        <x:v>1</x:v>
      </x:c>
      <x:c r="L32" s="53" t="n">
        <x:v>777460</x:v>
      </x:c>
      <x:c r="M32" s="54" t="n">
        <x:v>0.7814</x:v>
      </x:c>
      <x:c r="N32" s="53" t="n">
        <x:v>162014</x:v>
      </x:c>
      <x:c r="O32" s="53" t="n">
        <x:v>485208</x:v>
      </x:c>
    </x:row>
    <x:row r="33" ht="15" hidden="0" customHeight="1">
      <x:c r="A33" s="10" t="n">
        <x:v>202408</x:v>
      </x:c>
      <x:c r="B33" s="10" t="str">
        <x:v>2024-08</x:v>
      </x:c>
      <x:c r="C33" s="10" t="n">
        <x:v>11</x:v>
      </x:c>
      <x:c r="D33" s="10" t="str">
        <x:v>Q11</x:v>
      </x:c>
      <x:c r="E33" s="53" t="n">
        <x:v>1372126</x:v>
      </x:c>
      <x:c r="F33" s="53" t="n">
        <x:v>388833.63</x:v>
      </x:c>
      <x:c r="G33" s="54" t="n">
        <x:v>0.2834</x:v>
      </x:c>
      <x:c r="H33" s="53" t="n">
        <x:v>499</x:v>
      </x:c>
      <x:c r="I33" s="53" t="n">
        <x:v>499</x:v>
      </x:c>
      <x:c r="J33" s="54" t="n">
        <x:v>1</x:v>
      </x:c>
      <x:c r="K33" s="54" t="n">
        <x:v>0.8333</x:v>
      </x:c>
      <x:c r="L33" s="53" t="n">
        <x:v>783330</x:v>
      </x:c>
      <x:c r="M33" s="54" t="n">
        <x:v>0.7271</x:v>
      </x:c>
      <x:c r="N33" s="53" t="n">
        <x:v>-206652</x:v>
      </x:c>
      <x:c r="O33" s="53" t="n">
        <x:v>278556</x:v>
      </x:c>
    </x:row>
    <x:row r="34" ht="15" hidden="0" customHeight="1">
      <x:c r="A34" s="10" t="n">
        <x:v>202409</x:v>
      </x:c>
      <x:c r="B34" s="10" t="str">
        <x:v>2024-09</x:v>
      </x:c>
      <x:c r="C34" s="10" t="n">
        <x:v>11</x:v>
      </x:c>
      <x:c r="D34" s="10" t="str">
        <x:v>Q11</x:v>
      </x:c>
      <x:c r="E34" s="53" t="n">
        <x:v>1648629</x:v>
      </x:c>
      <x:c r="F34" s="53" t="n">
        <x:v>523206.5</x:v>
      </x:c>
      <x:c r="G34" s="54" t="n">
        <x:v>0.3174</x:v>
      </x:c>
      <x:c r="H34" s="53" t="n">
        <x:v>599</x:v>
      </x:c>
      <x:c r="I34" s="53" t="n">
        <x:v>599</x:v>
      </x:c>
      <x:c r="J34" s="54" t="n">
        <x:v>1</x:v>
      </x:c>
      <x:c r="K34" s="54" t="n">
        <x:v>1</x:v>
      </x:c>
      <x:c r="L34" s="53" t="n">
        <x:v>783740</x:v>
      </x:c>
      <x:c r="M34" s="54" t="n">
        <x:v>0.8657</x:v>
      </x:c>
      <x:c r="N34" s="53" t="n">
        <x:v>-178191</x:v>
      </x:c>
      <x:c r="O34" s="53" t="n">
        <x:v>100365</x:v>
      </x:c>
    </x:row>
    <x:row r="35" ht="15" hidden="0" customHeight="1">
      <x:c r="A35" s="10" t="n">
        <x:v>202410</x:v>
      </x:c>
      <x:c r="B35" s="10" t="str">
        <x:v>2024-10</x:v>
      </x:c>
      <x:c r="C35" s="10" t="n">
        <x:v>12</x:v>
      </x:c>
      <x:c r="D35" s="10" t="str">
        <x:v>Q12</x:v>
      </x:c>
      <x:c r="E35" s="53" t="n">
        <x:v>1059989</x:v>
      </x:c>
      <x:c r="F35" s="53" t="n">
        <x:v>292925.97</x:v>
      </x:c>
      <x:c r="G35" s="54" t="n">
        <x:v>0.2763</x:v>
      </x:c>
      <x:c r="H35" s="53" t="n">
        <x:v>385</x:v>
      </x:c>
      <x:c r="I35" s="53" t="n">
        <x:v>385</x:v>
      </x:c>
      <x:c r="J35" s="54" t="n">
        <x:v>1</x:v>
      </x:c>
      <x:c r="K35" s="54" t="n">
        <x:v>1</x:v>
      </x:c>
      <x:c r="L35" s="53" t="n">
        <x:v>781100</x:v>
      </x:c>
      <x:c r="M35" s="54" t="n">
        <x:v>0.5158</x:v>
      </x:c>
      <x:c r="N35" s="53" t="n">
        <x:v>48672</x:v>
      </x:c>
      <x:c r="O35" s="53" t="n">
        <x:v>149037</x:v>
      </x:c>
    </x:row>
    <x:row r="36" ht="15" hidden="0" customHeight="1">
      <x:c r="A36" s="10" t="n">
        <x:v>202411</x:v>
      </x:c>
      <x:c r="B36" s="10" t="str">
        <x:v>2024-11</x:v>
      </x:c>
      <x:c r="C36" s="10" t="n">
        <x:v>12</x:v>
      </x:c>
      <x:c r="D36" s="10" t="str">
        <x:v>Q12</x:v>
      </x:c>
      <x:c r="E36" s="53" t="n">
        <x:v>1140225</x:v>
      </x:c>
      <x:c r="F36" s="53" t="n">
        <x:v>342849.57</x:v>
      </x:c>
      <x:c r="G36" s="54" t="n">
        <x:v>0.3007</x:v>
      </x:c>
      <x:c r="H36" s="53" t="n">
        <x:v>414</x:v>
      </x:c>
      <x:c r="I36" s="53" t="n">
        <x:v>414</x:v>
      </x:c>
      <x:c r="J36" s="54" t="n">
        <x:v>1</x:v>
      </x:c>
      <x:c r="K36" s="54" t="n">
        <x:v>0.8</x:v>
      </x:c>
      <x:c r="L36" s="53" t="n">
        <x:v>779690</x:v>
      </x:c>
      <x:c r="M36" s="54" t="n">
        <x:v>0.5553</x:v>
      </x:c>
      <x:c r="N36" s="53" t="n">
        <x:v>60982</x:v>
      </x:c>
      <x:c r="O36" s="53" t="n">
        <x:v>210019</x:v>
      </x:c>
    </x:row>
    <x:row r="37" ht="15" hidden="0" customHeight="1">
      <x:c r="A37" s="10" t="n">
        <x:v>202412</x:v>
      </x:c>
      <x:c r="B37" s="10" t="str">
        <x:v>2024-12</x:v>
      </x:c>
      <x:c r="C37" s="10" t="n">
        <x:v>12</x:v>
      </x:c>
      <x:c r="D37" s="10" t="str">
        <x:v>Q12</x:v>
      </x:c>
      <x:c r="E37" s="53" t="n">
        <x:v>1474786</x:v>
      </x:c>
      <x:c r="F37" s="53" t="n">
        <x:v>413365.52</x:v>
      </x:c>
      <x:c r="G37" s="54" t="n">
        <x:v>0.2803</x:v>
      </x:c>
      <x:c r="H37" s="53" t="n">
        <x:v>536</x:v>
      </x:c>
      <x:c r="I37" s="53" t="n">
        <x:v>536</x:v>
      </x:c>
      <x:c r="J37" s="54" t="n">
        <x:v>1</x:v>
      </x:c>
      <x:c r="K37" s="54" t="n">
        <x:v>0.8462</x:v>
      </x:c>
      <x:c r="L37" s="53" t="n">
        <x:v>777870</x:v>
      </x:c>
      <x:c r="M37" s="54" t="n">
        <x:v>0.7171</x:v>
      </x:c>
      <x:c r="N37" s="53" t="n">
        <x:v>127701</x:v>
      </x:c>
      <x:c r="O37" s="53" t="n">
        <x:v>337720</x:v>
      </x:c>
    </x:row>
    <x:row r="38" ht="15" hidden="0" customHeight="1">
      <x:c r="A38" s="10" t="n">
        <x:v>202501</x:v>
      </x:c>
      <x:c r="B38" s="10" t="str">
        <x:v>2025-01</x:v>
      </x:c>
      <x:c r="C38" s="10" t="n">
        <x:v>13</x:v>
      </x:c>
      <x:c r="D38" s="10" t="str">
        <x:v>Q13</x:v>
      </x:c>
      <x:c r="E38" s="53" t="n">
        <x:v>1547692</x:v>
      </x:c>
      <x:c r="F38" s="53" t="n">
        <x:v>431567.76</x:v>
      </x:c>
      <x:c r="G38" s="54" t="n">
        <x:v>0.2788</x:v>
      </x:c>
      <x:c r="H38" s="53" t="n">
        <x:v>563</x:v>
      </x:c>
      <x:c r="I38" s="53" t="n">
        <x:v>563</x:v>
      </x:c>
      <x:c r="J38" s="54" t="n">
        <x:v>1</x:v>
      </x:c>
      <x:c r="K38" s="54" t="n">
        <x:v>0.8462</x:v>
      </x:c>
      <x:c r="L38" s="53" t="n">
        <x:v>918390</x:v>
      </x:c>
      <x:c r="M38" s="54" t="n">
        <x:v>0.9186</x:v>
      </x:c>
      <x:c r="N38" s="53" t="n">
        <x:v>-47611</x:v>
      </x:c>
      <x:c r="O38" s="53" t="n">
        <x:v>290109</x:v>
      </x:c>
    </x:row>
    <x:row r="39" ht="15" hidden="0" customHeight="1">
      <x:c r="A39" s="10" t="n">
        <x:v>202502</x:v>
      </x:c>
      <x:c r="B39" s="10" t="str">
        <x:v>2025-02</x:v>
      </x:c>
      <x:c r="C39" s="10" t="n">
        <x:v>13</x:v>
      </x:c>
      <x:c r="D39" s="10" t="str">
        <x:v>Q13</x:v>
      </x:c>
      <x:c r="E39" s="53" t="n">
        <x:v>1791381</x:v>
      </x:c>
      <x:c r="F39" s="53" t="n">
        <x:v>469814.14</x:v>
      </x:c>
      <x:c r="G39" s="54" t="n">
        <x:v>0.2623</x:v>
      </x:c>
      <x:c r="H39" s="53" t="n">
        <x:v>651</x:v>
      </x:c>
      <x:c r="I39" s="53" t="n">
        <x:v>651</x:v>
      </x:c>
      <x:c r="J39" s="54" t="n">
        <x:v>1</x:v>
      </x:c>
      <x:c r="K39" s="54" t="n">
        <x:v>0.9375</x:v>
      </x:c>
      <x:c r="L39" s="53" t="n">
        <x:v>916160</x:v>
      </x:c>
      <x:c r="M39" s="54" t="n">
        <x:v>0.9443</x:v>
      </x:c>
      <x:c r="N39" s="53" t="n">
        <x:v>-210694</x:v>
      </x:c>
      <x:c r="O39" s="53" t="n">
        <x:v>79415</x:v>
      </x:c>
    </x:row>
    <x:row r="40" ht="15" hidden="0" customHeight="1">
      <x:c r="A40" s="10" t="n">
        <x:v>202503</x:v>
      </x:c>
      <x:c r="B40" s="10" t="str">
        <x:v>2025-03</x:v>
      </x:c>
      <x:c r="C40" s="10" t="n">
        <x:v>13</x:v>
      </x:c>
      <x:c r="D40" s="10" t="str">
        <x:v>Q13</x:v>
      </x:c>
      <x:c r="E40" s="53" t="n">
        <x:v>2173427</x:v>
      </x:c>
      <x:c r="F40" s="53" t="n">
        <x:v>634132.05</x:v>
      </x:c>
      <x:c r="G40" s="54" t="n">
        <x:v>0.2918</x:v>
      </x:c>
      <x:c r="H40" s="53" t="n">
        <x:v>790</x:v>
      </x:c>
      <x:c r="I40" s="53" t="n">
        <x:v>790</x:v>
      </x:c>
      <x:c r="J40" s="54" t="n">
        <x:v>1</x:v>
      </x:c>
      <x:c r="K40" s="54" t="n">
        <x:v>0.8947</x:v>
      </x:c>
      <x:c r="L40" s="53" t="n">
        <x:v>710890</x:v>
      </x:c>
      <x:c r="M40" s="54" t="n">
        <x:v>0.9971</x:v>
      </x:c>
      <x:c r="N40" s="53" t="n">
        <x:v>-76192</x:v>
      </x:c>
      <x:c r="O40" s="53" t="n">
        <x:v>3223</x:v>
      </x:c>
    </x:row>
    <x:row r="41" ht="15" hidden="0" customHeight="1">
      <x:c r="A41" s="10" t="n">
        <x:v>202504</x:v>
      </x:c>
      <x:c r="B41" s="10" t="str">
        <x:v>2025-04</x:v>
      </x:c>
      <x:c r="C41" s="10" t="n">
        <x:v>14</x:v>
      </x:c>
      <x:c r="D41" s="10" t="str">
        <x:v>Q14</x:v>
      </x:c>
      <x:c r="E41" s="53" t="n">
        <x:v>2382019</x:v>
      </x:c>
      <x:c r="F41" s="53" t="n">
        <x:v>674518.56</x:v>
      </x:c>
      <x:c r="G41" s="54" t="n">
        <x:v>0.2832</x:v>
      </x:c>
      <x:c r="H41" s="53" t="n">
        <x:v>866</x:v>
      </x:c>
      <x:c r="I41" s="53" t="n">
        <x:v>866</x:v>
      </x:c>
      <x:c r="J41" s="54" t="n">
        <x:v>1</x:v>
      </x:c>
      <x:c r="K41" s="54" t="n">
        <x:v>0.9524</x:v>
      </x:c>
      <x:c r="L41" s="53" t="n">
        <x:v>773820</x:v>
      </x:c>
      <x:c r="M41" s="54" t="n">
        <x:v>0.9296</x:v>
      </x:c>
      <x:c r="N41" s="53" t="n">
        <x:v>198136</x:v>
      </x:c>
      <x:c r="O41" s="53" t="n">
        <x:v>201359</x:v>
      </x:c>
    </x:row>
    <x:row r="42" ht="15" hidden="0" customHeight="1">
      <x:c r="A42" s="10" t="n">
        <x:v>202505</x:v>
      </x:c>
      <x:c r="B42" s="10" t="str">
        <x:v>2025-05</x:v>
      </x:c>
      <x:c r="C42" s="10" t="n">
        <x:v>14</x:v>
      </x:c>
      <x:c r="D42" s="10" t="str">
        <x:v>Q14</x:v>
      </x:c>
      <x:c r="E42" s="53" t="n">
        <x:v>2161941</x:v>
      </x:c>
      <x:c r="F42" s="53" t="n">
        <x:v>523277.54</x:v>
      </x:c>
      <x:c r="G42" s="54" t="n">
        <x:v>0.242</x:v>
      </x:c>
      <x:c r="H42" s="53" t="n">
        <x:v>786</x:v>
      </x:c>
      <x:c r="I42" s="53" t="n">
        <x:v>786</x:v>
      </x:c>
      <x:c r="J42" s="54" t="n">
        <x:v>1</x:v>
      </x:c>
      <x:c r="K42" s="54" t="n">
        <x:v>0.9474</x:v>
      </x:c>
      <x:c r="L42" s="53" t="n">
        <x:v>767720</x:v>
      </x:c>
      <x:c r="M42" s="54" t="n">
        <x:v>0.8143</x:v>
      </x:c>
      <x:c r="N42" s="53" t="n">
        <x:v>-175811</x:v>
      </x:c>
      <x:c r="O42" s="53" t="n">
        <x:v>25548</x:v>
      </x:c>
    </x:row>
    <x:row r="43" ht="15" hidden="0" customHeight="1">
      <x:c r="A43" s="10" t="n">
        <x:v>202506</x:v>
      </x:c>
      <x:c r="B43" s="10" t="str">
        <x:v>2025-06</x:v>
      </x:c>
      <x:c r="C43" s="10" t="n">
        <x:v>14</x:v>
      </x:c>
      <x:c r="D43" s="10" t="str">
        <x:v>Q14</x:v>
      </x:c>
      <x:c r="E43" s="53" t="n">
        <x:v>2806040</x:v>
      </x:c>
      <x:c r="F43" s="53" t="n">
        <x:v>773372.15</x:v>
      </x:c>
      <x:c r="G43" s="54" t="n">
        <x:v>0.2756</x:v>
      </x:c>
      <x:c r="H43" s="53" t="n">
        <x:v>1020</x:v>
      </x:c>
      <x:c r="I43" s="53" t="n">
        <x:v>1020</x:v>
      </x:c>
      <x:c r="J43" s="54" t="n">
        <x:v>1</x:v>
      </x:c>
      <x:c r="K43" s="54" t="n">
        <x:v>0.9583</x:v>
      </x:c>
      <x:c r="L43" s="53" t="n">
        <x:v>651320</x:v>
      </x:c>
      <x:c r="M43" s="54" t="n">
        <x:v>0.998</x:v>
      </x:c>
      <x:c r="N43" s="53" t="n">
        <x:v>327726</x:v>
      </x:c>
      <x:c r="O43" s="53" t="n">
        <x:v>353274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.5" hidden="0" customWidth="1"/>
    <x:col min="3" max="3" width="7.130000114440918" hidden="0" customWidth="1"/>
    <x:col min="4" max="4" width="13.25" hidden="0" customWidth="1"/>
    <x:col min="5" max="5" width="8.880000114440918" hidden="0" customWidth="1"/>
    <x:col min="6" max="6" width="9.880000114440918" hidden="0" customWidth="1"/>
    <x:col min="7" max="7" width="9.130000114440918" hidden="0" customWidth="1"/>
    <x:col min="8" max="8" width="9.130000114440918" hidden="0" customWidth="1"/>
    <x:col min="9" max="9" width="5.880000114440918" hidden="0" customWidth="1"/>
    <x:col min="10" max="10" width="14.630000114440918" hidden="0" customWidth="1"/>
    <x:col min="11" max="11" width="14.880000114440918" hidden="0" customWidth="1"/>
    <x:col min="12" max="12" width="14.130000114440918" hidden="0" customWidth="1"/>
    <x:col min="13" max="13" width="14" hidden="0" customWidth="1"/>
    <x:col min="14" max="14" width="10.130000114440918" hidden="0" customWidth="1"/>
    <x:col min="15" max="15" width="8.880000114440918" hidden="0" customWidth="1"/>
    <x:col min="16" max="16" width="9.880000114440918" hidden="0" customWidth="1"/>
    <x:col min="17" max="17" width="9.75" hidden="0" customWidth="1"/>
    <x:col min="18" max="18" width="9.25" hidden="0" customWidth="1"/>
  </x:cols>
  <x:sheetData>
    <x:row r="1" ht="15" hidden="0" customHeight="1">
      <x:c r="A1" s="7" t="str">
        <x:v>quarter_seq</x:v>
      </x:c>
      <x:c r="B1" s="7" t="str">
        <x:v>business_quarter</x:v>
      </x:c>
      <x:c r="C1" s="7" t="str">
        <x:v>net_sales</x:v>
      </x:c>
      <x:c r="D1" s="7" t="str">
        <x:v>sales_qoq_growth</x:v>
      </x:c>
      <x:c r="E1" s="7" t="str">
        <x:v>gross_profit</x:v>
      </x:c>
      <x:c r="F1" s="7" t="str">
        <x:v>gross_margin</x:v>
      </x:c>
      <x:c r="G1" s="7" t="str">
        <x:v>ordered_qty</x:v>
      </x:c>
      <x:c r="H1" s="7" t="str">
        <x:v>shipped_qty</x:v>
      </x:c>
      <x:c r="I1" s="7" t="str">
        <x:v>fill_rate</x:v>
      </x:c>
      <x:c r="J1" s="7" t="str">
        <x:v>on_time_order_rate</x:v>
      </x:c>
      <x:c r="K1" s="7" t="str">
        <x:v>avg_inventory_value</x:v>
      </x:c>
      <x:c r="L1" s="7" t="str">
        <x:v>inventory_turnover</x:v>
      </x:c>
      <x:c r="M1" s="7" t="str">
        <x:v>capacity_utilization</x:v>
      </x:c>
      <x:c r="N1" s="7" t="str">
        <x:v>opening_cash</x:v>
      </x:c>
      <x:c r="O1" s="7" t="str">
        <x:v>cash_inflow</x:v>
      </x:c>
      <x:c r="P1" s="7" t="str">
        <x:v>cash_outflow</x:v>
      </x:c>
      <x:c r="Q1" s="7" t="str">
        <x:v>net_cashflow</x:v>
      </x:c>
      <x:c r="R1" s="7" t="str">
        <x:v>closing_cash</x:v>
      </x:c>
    </x:row>
    <x:row r="2" ht="15" hidden="0" customHeight="1">
      <x:c r="A2" s="10" t="n">
        <x:v>1</x:v>
      </x:c>
      <x:c r="B2" s="10" t="str">
        <x:v>Q01</x:v>
      </x:c>
      <x:c r="C2" s="53" t="n">
        <x:v>0</x:v>
      </x:c>
      <x:c r="D2" s="54" t="n">
        <x:v>0</x:v>
      </x:c>
      <x:c r="E2" s="53" t="n">
        <x:v>0</x:v>
      </x:c>
      <x:c r="F2" s="54" t="n">
        <x:v>0</x:v>
      </x:c>
      <x:c r="G2" s="53" t="n">
        <x:v>0</x:v>
      </x:c>
      <x:c r="H2" s="53" t="n">
        <x:v>0</x:v>
      </x:c>
      <x:c r="I2" s="54" t="n">
        <x:v>0</x:v>
      </x:c>
      <x:c r="J2" s="54" t="n">
        <x:v>0</x:v>
      </x:c>
      <x:c r="K2" s="53" t="n">
        <x:v>0</x:v>
      </x:c>
      <x:c r="L2" s="63" t="n">
        <x:v>0</x:v>
      </x:c>
      <x:c r="M2" s="54" t="n">
        <x:v>0</x:v>
      </x:c>
      <x:c r="N2" s="53" t="n">
        <x:v>0</x:v>
      </x:c>
      <x:c r="O2" s="53" t="n">
        <x:v>10000000</x:v>
      </x:c>
      <x:c r="P2" s="53" t="n">
        <x:v>8256000</x:v>
      </x:c>
      <x:c r="Q2" s="53" t="n">
        <x:v>1744000</x:v>
      </x:c>
      <x:c r="R2" s="53" t="n">
        <x:v>1744000</x:v>
      </x:c>
    </x:row>
    <x:row r="3" ht="15" hidden="0" customHeight="1">
      <x:c r="A3" s="10" t="n">
        <x:v>2</x:v>
      </x:c>
      <x:c r="B3" s="10" t="str">
        <x:v>Q02</x:v>
      </x:c>
      <x:c r="C3" s="53" t="n">
        <x:v>0</x:v>
      </x:c>
      <x:c r="D3" s="54" t="n">
        <x:v>0</x:v>
      </x:c>
      <x:c r="E3" s="53" t="n">
        <x:v>0</x:v>
      </x:c>
      <x:c r="F3" s="54" t="n">
        <x:v>0</x:v>
      </x:c>
      <x:c r="G3" s="53" t="n">
        <x:v>0</x:v>
      </x:c>
      <x:c r="H3" s="53" t="n">
        <x:v>0</x:v>
      </x:c>
      <x:c r="I3" s="54" t="n">
        <x:v>0</x:v>
      </x:c>
      <x:c r="J3" s="54" t="n">
        <x:v>0</x:v>
      </x:c>
      <x:c r="K3" s="53" t="n">
        <x:v>261900</x:v>
      </x:c>
      <x:c r="L3" s="63" t="n">
        <x:v>0</x:v>
      </x:c>
      <x:c r="M3" s="54" t="n">
        <x:v>0.176</x:v>
      </x:c>
      <x:c r="N3" s="53" t="n">
        <x:v>1744000</x:v>
      </x:c>
      <x:c r="O3" s="53" t="n">
        <x:v>5024416</x:v>
      </x:c>
      <x:c r="P3" s="53" t="n">
        <x:v>6251900</x:v>
      </x:c>
      <x:c r="Q3" s="53" t="n">
        <x:v>-1227484</x:v>
      </x:c>
      <x:c r="R3" s="53" t="n">
        <x:v>516516</x:v>
      </x:c>
    </x:row>
    <x:row r="4" ht="15" hidden="0" customHeight="1">
      <x:c r="A4" s="10" t="n">
        <x:v>3</x:v>
      </x:c>
      <x:c r="B4" s="10" t="str">
        <x:v>Q03</x:v>
      </x:c>
      <x:c r="C4" s="53" t="n">
        <x:v>0</x:v>
      </x:c>
      <x:c r="D4" s="54" t="n">
        <x:v>0</x:v>
      </x:c>
      <x:c r="E4" s="53" t="n">
        <x:v>0</x:v>
      </x:c>
      <x:c r="F4" s="54" t="n">
        <x:v>0</x:v>
      </x:c>
      <x:c r="G4" s="53" t="n">
        <x:v>0</x:v>
      </x:c>
      <x:c r="H4" s="53" t="n">
        <x:v>0</x:v>
      </x:c>
      <x:c r="I4" s="54" t="n">
        <x:v>0</x:v>
      </x:c>
      <x:c r="J4" s="54" t="n">
        <x:v>0</x:v>
      </x:c>
      <x:c r="K4" s="53" t="n">
        <x:v>263250</x:v>
      </x:c>
      <x:c r="L4" s="63" t="n">
        <x:v>0</x:v>
      </x:c>
      <x:c r="M4" s="54" t="n">
        <x:v>0</x:v>
      </x:c>
      <x:c r="N4" s="53" t="n">
        <x:v>516516</x:v>
      </x:c>
      <x:c r="O4" s="53" t="n">
        <x:v>8264</x:v>
      </x:c>
      <x:c r="P4" s="53" t="n">
        <x:v>410000</x:v>
      </x:c>
      <x:c r="Q4" s="53" t="n">
        <x:v>-401736</x:v>
      </x:c>
      <x:c r="R4" s="53" t="n">
        <x:v>114780</x:v>
      </x:c>
    </x:row>
    <x:row r="5" ht="15" hidden="0" customHeight="1">
      <x:c r="A5" s="10" t="n">
        <x:v>4</x:v>
      </x:c>
      <x:c r="B5" s="10" t="str">
        <x:v>Q04</x:v>
      </x:c>
      <x:c r="C5" s="53" t="n">
        <x:v>0</x:v>
      </x:c>
      <x:c r="D5" s="54" t="n">
        <x:v>0</x:v>
      </x:c>
      <x:c r="E5" s="53" t="n">
        <x:v>0</x:v>
      </x:c>
      <x:c r="F5" s="54" t="n">
        <x:v>0</x:v>
      </x:c>
      <x:c r="G5" s="53" t="n">
        <x:v>0</x:v>
      </x:c>
      <x:c r="H5" s="53" t="n">
        <x:v>0</x:v>
      </x:c>
      <x:c r="I5" s="54" t="n">
        <x:v>0</x:v>
      </x:c>
      <x:c r="J5" s="54" t="n">
        <x:v>0</x:v>
      </x:c>
      <x:c r="K5" s="53" t="n">
        <x:v>263250</x:v>
      </x:c>
      <x:c r="L5" s="63" t="n">
        <x:v>0</x:v>
      </x:c>
      <x:c r="M5" s="54" t="n">
        <x:v>0</x:v>
      </x:c>
      <x:c r="N5" s="53" t="n">
        <x:v>114780</x:v>
      </x:c>
      <x:c r="O5" s="53" t="n">
        <x:v>0</x:v>
      </x:c>
      <x:c r="P5" s="53" t="n">
        <x:v>0</x:v>
      </x:c>
      <x:c r="Q5" s="53" t="n">
        <x:v>0</x:v>
      </x:c>
      <x:c r="R5" s="53" t="n">
        <x:v>114780</x:v>
      </x:c>
    </x:row>
    <x:row r="6" ht="15" hidden="0" customHeight="1">
      <x:c r="A6" s="10" t="n">
        <x:v>5</x:v>
      </x:c>
      <x:c r="B6" s="10" t="str">
        <x:v>Q05</x:v>
      </x:c>
      <x:c r="C6" s="53" t="n">
        <x:v>1802500</x:v>
      </x:c>
      <x:c r="D6" s="54" t="n">
        <x:v>0</x:v>
      </x:c>
      <x:c r="E6" s="53" t="n">
        <x:v>501994.69</x:v>
      </x:c>
      <x:c r="F6" s="54" t="n">
        <x:v>0.2785</x:v>
      </x:c>
      <x:c r="G6" s="53" t="n">
        <x:v>656</x:v>
      </x:c>
      <x:c r="H6" s="53" t="n">
        <x:v>656</x:v>
      </x:c>
      <x:c r="I6" s="54" t="n">
        <x:v>1</x:v>
      </x:c>
      <x:c r="J6" s="54" t="n">
        <x:v>0.9583</x:v>
      </x:c>
      <x:c r="K6" s="53" t="n">
        <x:v>255286.67</x:v>
      </x:c>
      <x:c r="L6" s="63" t="n">
        <x:v>5.09</x:v>
      </x:c>
      <x:c r="M6" s="54" t="n">
        <x:v>0.7378</x:v>
      </x:c>
      <x:c r="N6" s="53" t="n">
        <x:v>114780</x:v>
      </x:c>
      <x:c r="O6" s="53" t="n">
        <x:v>1806172</x:v>
      </x:c>
      <x:c r="P6" s="53" t="n">
        <x:v>1776207</x:v>
      </x:c>
      <x:c r="Q6" s="53" t="n">
        <x:v>29965</x:v>
      </x:c>
      <x:c r="R6" s="53" t="n">
        <x:v>144745</x:v>
      </x:c>
    </x:row>
    <x:row r="7" ht="15" hidden="0" customHeight="1">
      <x:c r="A7" s="10" t="n">
        <x:v>6</x:v>
      </x:c>
      <x:c r="B7" s="10" t="str">
        <x:v>Q06</x:v>
      </x:c>
      <x:c r="C7" s="53" t="n">
        <x:v>1297400</x:v>
      </x:c>
      <x:c r="D7" s="54" t="n">
        <x:v>-0.2802</x:v>
      </x:c>
      <x:c r="E7" s="53" t="n">
        <x:v>360671.62</x:v>
      </x:c>
      <x:c r="F7" s="54" t="n">
        <x:v>0.278</x:v>
      </x:c>
      <x:c r="G7" s="53" t="n">
        <x:v>471</x:v>
      </x:c>
      <x:c r="H7" s="53" t="n">
        <x:v>471</x:v>
      </x:c>
      <x:c r="I7" s="54" t="n">
        <x:v>1</x:v>
      </x:c>
      <x:c r="J7" s="54" t="n">
        <x:v>0.9167</x:v>
      </x:c>
      <x:c r="K7" s="53" t="n">
        <x:v>257243.33</x:v>
      </x:c>
      <x:c r="L7" s="63" t="n">
        <x:v>3.64</x:v>
      </x:c>
      <x:c r="M7" s="54" t="n">
        <x:v>0.5172</x:v>
      </x:c>
      <x:c r="N7" s="53" t="n">
        <x:v>144745</x:v>
      </x:c>
      <x:c r="O7" s="53" t="n">
        <x:v>3299715</x:v>
      </x:c>
      <x:c r="P7" s="53" t="n">
        <x:v>3118000</x:v>
      </x:c>
      <x:c r="Q7" s="53" t="n">
        <x:v>181715</x:v>
      </x:c>
      <x:c r="R7" s="53" t="n">
        <x:v>326460</x:v>
      </x:c>
    </x:row>
    <x:row r="8" ht="15" hidden="0" customHeight="1">
      <x:c r="A8" s="10" t="n">
        <x:v>7</x:v>
      </x:c>
      <x:c r="B8" s="10" t="str">
        <x:v>Q07</x:v>
      </x:c>
      <x:c r="C8" s="53" t="n">
        <x:v>0</x:v>
      </x:c>
      <x:c r="D8" s="54" t="n">
        <x:v>-1</x:v>
      </x:c>
      <x:c r="E8" s="53" t="n">
        <x:v>0</x:v>
      </x:c>
      <x:c r="F8" s="54" t="n">
        <x:v>0</x:v>
      </x:c>
      <x:c r="G8" s="53" t="n">
        <x:v>0</x:v>
      </x:c>
      <x:c r="H8" s="53" t="n">
        <x:v>0</x:v>
      </x:c>
      <x:c r="I8" s="54" t="n">
        <x:v>0</x:v>
      </x:c>
      <x:c r="J8" s="54" t="n">
        <x:v>0</x:v>
      </x:c>
      <x:c r="K8" s="53" t="n">
        <x:v>263250</x:v>
      </x:c>
      <x:c r="L8" s="63" t="n">
        <x:v>0</x:v>
      </x:c>
      <x:c r="M8" s="54" t="n">
        <x:v>0.003</x:v>
      </x:c>
      <x:c r="N8" s="53" t="n">
        <x:v>326460</x:v>
      </x:c>
      <x:c r="O8" s="53" t="n">
        <x:v>205223</x:v>
      </x:c>
      <x:c r="P8" s="53" t="n">
        <x:v>469000</x:v>
      </x:c>
      <x:c r="Q8" s="53" t="n">
        <x:v>-263777</x:v>
      </x:c>
      <x:c r="R8" s="53" t="n">
        <x:v>62683</x:v>
      </x:c>
    </x:row>
    <x:row r="9" ht="15" hidden="0" customHeight="1">
      <x:c r="A9" s="10" t="n">
        <x:v>8</x:v>
      </x:c>
      <x:c r="B9" s="10" t="str">
        <x:v>Q08</x:v>
      </x:c>
      <x:c r="C9" s="53" t="n">
        <x:v>2450000</x:v>
      </x:c>
      <x:c r="D9" s="54" t="n">
        <x:v>0</x:v>
      </x:c>
      <x:c r="E9" s="53" t="n">
        <x:v>732684.1</x:v>
      </x:c>
      <x:c r="F9" s="54" t="n">
        <x:v>0.2991</x:v>
      </x:c>
      <x:c r="G9" s="53" t="n">
        <x:v>890</x:v>
      </x:c>
      <x:c r="H9" s="53" t="n">
        <x:v>890</x:v>
      </x:c>
      <x:c r="I9" s="54" t="n">
        <x:v>1</x:v>
      </x:c>
      <x:c r="J9" s="54" t="n">
        <x:v>0.9167</x:v>
      </x:c>
      <x:c r="K9" s="53" t="n">
        <x:v>319690</x:v>
      </x:c>
      <x:c r="L9" s="63" t="n">
        <x:v>5.37</x:v>
      </x:c>
      <x:c r="M9" s="54" t="n">
        <x:v>0.8034</x:v>
      </x:c>
      <x:c r="N9" s="53" t="n">
        <x:v>62683</x:v>
      </x:c>
      <x:c r="O9" s="53" t="n">
        <x:v>2451002</x:v>
      </x:c>
      <x:c r="P9" s="53" t="n">
        <x:v>2350650</x:v>
      </x:c>
      <x:c r="Q9" s="53" t="n">
        <x:v>100352</x:v>
      </x:c>
      <x:c r="R9" s="53" t="n">
        <x:v>163035</x:v>
      </x:c>
    </x:row>
    <x:row r="10" ht="15" hidden="0" customHeight="1">
      <x:c r="A10" s="10" t="n">
        <x:v>9</x:v>
      </x:c>
      <x:c r="B10" s="10" t="str">
        <x:v>Q09</x:v>
      </x:c>
      <x:c r="C10" s="53" t="n">
        <x:v>1995300</x:v>
      </x:c>
      <x:c r="D10" s="54" t="n">
        <x:v>-0.1856</x:v>
      </x:c>
      <x:c r="E10" s="53" t="n">
        <x:v>531157.06</x:v>
      </x:c>
      <x:c r="F10" s="54" t="n">
        <x:v>0.2662</x:v>
      </x:c>
      <x:c r="G10" s="53" t="n">
        <x:v>518</x:v>
      </x:c>
      <x:c r="H10" s="53" t="n">
        <x:v>518</x:v>
      </x:c>
      <x:c r="I10" s="54" t="n">
        <x:v>1</x:v>
      </x:c>
      <x:c r="J10" s="54" t="n">
        <x:v>0.8958</x:v>
      </x:c>
      <x:c r="K10" s="53" t="n">
        <x:v>566016.67</x:v>
      </x:c>
      <x:c r="L10" s="63" t="n">
        <x:v>2.59</x:v>
      </x:c>
      <x:c r="M10" s="54" t="n">
        <x:v>0.3887</x:v>
      </x:c>
      <x:c r="N10" s="53" t="n">
        <x:v>163035</x:v>
      </x:c>
      <x:c r="O10" s="53" t="n">
        <x:v>1997908</x:v>
      </x:c>
      <x:c r="P10" s="53" t="n">
        <x:v>2114000</x:v>
      </x:c>
      <x:c r="Q10" s="53" t="n">
        <x:v>-116092</x:v>
      </x:c>
      <x:c r="R10" s="53" t="n">
        <x:v>46943</x:v>
      </x:c>
    </x:row>
    <x:row r="11" ht="15" hidden="0" customHeight="1">
      <x:c r="A11" s="10" t="n">
        <x:v>10</x:v>
      </x:c>
      <x:c r="B11" s="10" t="str">
        <x:v>Q10</x:v>
      </x:c>
      <x:c r="C11" s="53" t="n">
        <x:v>4500000</x:v>
      </x:c>
      <x:c r="D11" s="54" t="n">
        <x:v>1.2553</x:v>
      </x:c>
      <x:c r="E11" s="53" t="n">
        <x:v>1327522.58</x:v>
      </x:c>
      <x:c r="F11" s="54" t="n">
        <x:v>0.295</x:v>
      </x:c>
      <x:c r="G11" s="53" t="n">
        <x:v>980</x:v>
      </x:c>
      <x:c r="H11" s="53" t="n">
        <x:v>980</x:v>
      </x:c>
      <x:c r="I11" s="54" t="n">
        <x:v>1</x:v>
      </x:c>
      <x:c r="J11" s="54" t="n">
        <x:v>0.9231</x:v>
      </x:c>
      <x:c r="K11" s="53" t="n">
        <x:v>558156.67</x:v>
      </x:c>
      <x:c r="L11" s="63" t="n">
        <x:v>5.68</x:v>
      </x:c>
      <x:c r="M11" s="54" t="n">
        <x:v>0.6136</x:v>
      </x:c>
      <x:c r="N11" s="53" t="n">
        <x:v>46943</x:v>
      </x:c>
      <x:c r="O11" s="53" t="n">
        <x:v>4500751</x:v>
      </x:c>
      <x:c r="P11" s="53" t="n">
        <x:v>4224500</x:v>
      </x:c>
      <x:c r="Q11" s="53" t="n">
        <x:v>276251</x:v>
      </x:c>
      <x:c r="R11" s="53" t="n">
        <x:v>323194</x:v>
      </x:c>
    </x:row>
    <x:row r="12" ht="15" hidden="0" customHeight="1">
      <x:c r="A12" s="10" t="n">
        <x:v>11</x:v>
      </x:c>
      <x:c r="B12" s="10" t="str">
        <x:v>Q11</x:v>
      </x:c>
      <x:c r="C12" s="53" t="n">
        <x:v>4287500</x:v>
      </x:c>
      <x:c r="D12" s="54" t="n">
        <x:v>-0.0472</x:v>
      </x:c>
      <x:c r="E12" s="53" t="n">
        <x:v>1270063.67</x:v>
      </x:c>
      <x:c r="F12" s="54" t="n">
        <x:v>0.2962</x:v>
      </x:c>
      <x:c r="G12" s="53" t="n">
        <x:v>1558</x:v>
      </x:c>
      <x:c r="H12" s="53" t="n">
        <x:v>1558</x:v>
      </x:c>
      <x:c r="I12" s="54" t="n">
        <x:v>1</x:v>
      </x:c>
      <x:c r="J12" s="54" t="n">
        <x:v>0.9459</x:v>
      </x:c>
      <x:c r="K12" s="53" t="n">
        <x:v>781510</x:v>
      </x:c>
      <x:c r="L12" s="63" t="n">
        <x:v>3.86</x:v>
      </x:c>
      <x:c r="M12" s="54" t="n">
        <x:v>0.7914</x:v>
      </x:c>
      <x:c r="N12" s="53" t="n">
        <x:v>323194</x:v>
      </x:c>
      <x:c r="O12" s="53" t="n">
        <x:v>4292671</x:v>
      </x:c>
      <x:c r="P12" s="53" t="n">
        <x:v>4515500</x:v>
      </x:c>
      <x:c r="Q12" s="53" t="n">
        <x:v>-222829</x:v>
      </x:c>
      <x:c r="R12" s="53" t="n">
        <x:v>100365</x:v>
      </x:c>
    </x:row>
    <x:row r="13" ht="15" hidden="0" customHeight="1">
      <x:c r="A13" s="10" t="n">
        <x:v>12</x:v>
      </x:c>
      <x:c r="B13" s="10" t="str">
        <x:v>Q12</x:v>
      </x:c>
      <x:c r="C13" s="53" t="n">
        <x:v>3675000</x:v>
      </x:c>
      <x:c r="D13" s="54" t="n">
        <x:v>-0.1429</x:v>
      </x:c>
      <x:c r="E13" s="53" t="n">
        <x:v>1049141.06</x:v>
      </x:c>
      <x:c r="F13" s="54" t="n">
        <x:v>0.2855</x:v>
      </x:c>
      <x:c r="G13" s="53" t="n">
        <x:v>1335</x:v>
      </x:c>
      <x:c r="H13" s="53" t="n">
        <x:v>1335</x:v>
      </x:c>
      <x:c r="I13" s="54" t="n">
        <x:v>1</x:v>
      </x:c>
      <x:c r="J13" s="54" t="n">
        <x:v>0.875</x:v>
      </x:c>
      <x:c r="K13" s="53" t="n">
        <x:v>779553.33</x:v>
      </x:c>
      <x:c r="L13" s="63" t="n">
        <x:v>3.37</x:v>
      </x:c>
      <x:c r="M13" s="54" t="n">
        <x:v>0.5961</x:v>
      </x:c>
      <x:c r="N13" s="53" t="n">
        <x:v>100365</x:v>
      </x:c>
      <x:c r="O13" s="53" t="n">
        <x:v>3676605</x:v>
      </x:c>
      <x:c r="P13" s="53" t="n">
        <x:v>3439250</x:v>
      </x:c>
      <x:c r="Q13" s="53" t="n">
        <x:v>237355</x:v>
      </x:c>
      <x:c r="R13" s="53" t="n">
        <x:v>337720</x:v>
      </x:c>
    </x:row>
    <x:row r="14" ht="15" hidden="0" customHeight="1">
      <x:c r="A14" s="10" t="n">
        <x:v>13</x:v>
      </x:c>
      <x:c r="B14" s="10" t="str">
        <x:v>Q13</x:v>
      </x:c>
      <x:c r="C14" s="53" t="n">
        <x:v>5512500</x:v>
      </x:c>
      <x:c r="D14" s="54" t="n">
        <x:v>0.5</x:v>
      </x:c>
      <x:c r="E14" s="53" t="n">
        <x:v>1535513.95</x:v>
      </x:c>
      <x:c r="F14" s="54" t="n">
        <x:v>0.2786</x:v>
      </x:c>
      <x:c r="G14" s="53" t="n">
        <x:v>2004</x:v>
      </x:c>
      <x:c r="H14" s="53" t="n">
        <x:v>2004</x:v>
      </x:c>
      <x:c r="I14" s="54" t="n">
        <x:v>1</x:v>
      </x:c>
      <x:c r="J14" s="54" t="n">
        <x:v>0.8958</x:v>
      </x:c>
      <x:c r="K14" s="53" t="n">
        <x:v>848480</x:v>
      </x:c>
      <x:c r="L14" s="63" t="n">
        <x:v>4.69</x:v>
      </x:c>
      <x:c r="M14" s="54" t="n">
        <x:v>0.9533</x:v>
      </x:c>
      <x:c r="N14" s="53" t="n">
        <x:v>337720</x:v>
      </x:c>
      <x:c r="O14" s="53" t="n">
        <x:v>5517903</x:v>
      </x:c>
      <x:c r="P14" s="53" t="n">
        <x:v>5852400</x:v>
      </x:c>
      <x:c r="Q14" s="53" t="n">
        <x:v>-334497</x:v>
      </x:c>
      <x:c r="R14" s="53" t="n">
        <x:v>3223</x:v>
      </x:c>
    </x:row>
    <x:row r="15" ht="15" hidden="0" customHeight="1">
      <x:c r="A15" s="10" t="n">
        <x:v>14</x:v>
      </x:c>
      <x:c r="B15" s="10" t="str">
        <x:v>Q14</x:v>
      </x:c>
      <x:c r="C15" s="53" t="n">
        <x:v>7350000</x:v>
      </x:c>
      <x:c r="D15" s="54" t="n">
        <x:v>0.3333</x:v>
      </x:c>
      <x:c r="E15" s="53" t="n">
        <x:v>1971168.25</x:v>
      </x:c>
      <x:c r="F15" s="54" t="n">
        <x:v>0.2682</x:v>
      </x:c>
      <x:c r="G15" s="53" t="n">
        <x:v>2672</x:v>
      </x:c>
      <x:c r="H15" s="53" t="n">
        <x:v>2672</x:v>
      </x:c>
      <x:c r="I15" s="54" t="n">
        <x:v>1</x:v>
      </x:c>
      <x:c r="J15" s="54" t="n">
        <x:v>0.9531</x:v>
      </x:c>
      <x:c r="K15" s="53" t="n">
        <x:v>730953.33</x:v>
      </x:c>
      <x:c r="L15" s="63" t="n">
        <x:v>7.36</x:v>
      </x:c>
      <x:c r="M15" s="54" t="n">
        <x:v>0.914</x:v>
      </x:c>
      <x:c r="N15" s="53" t="n">
        <x:v>3223</x:v>
      </x:c>
      <x:c r="O15" s="53" t="n">
        <x:v>7350051</x:v>
      </x:c>
      <x:c r="P15" s="53" t="n">
        <x:v>7000000</x:v>
      </x:c>
      <x:c r="Q15" s="53" t="n">
        <x:v>350051</x:v>
      </x:c>
      <x:c r="R15" s="53" t="n">
        <x:v>353274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30000114440918" hidden="0" customWidth="1"/>
    <x:col min="2" max="2" width="11.5" hidden="0" customWidth="1"/>
    <x:col min="3" max="3" width="8.25" hidden="0" customWidth="1"/>
    <x:col min="4" max="4" width="11" hidden="0" customWidth="1"/>
    <x:col min="5" max="5" width="10" hidden="0" customWidth="1"/>
    <x:col min="6" max="6" width="9.130000114440918" hidden="0" customWidth="1"/>
    <x:col min="7" max="7" width="9.25" hidden="0" customWidth="1"/>
    <x:col min="8" max="8" width="8.130000114440918" hidden="0" customWidth="1"/>
    <x:col min="9" max="9" width="9.130000114440918" hidden="0" customWidth="1"/>
    <x:col min="10" max="10" width="9.130000114440918" hidden="0" customWidth="1"/>
    <x:col min="11" max="11" width="7.630000114440918" hidden="0" customWidth="1"/>
    <x:col min="12" max="12" width="8.380000114440918" hidden="0" customWidth="1"/>
    <x:col min="13" max="13" width="12.75" hidden="0" customWidth="1"/>
    <x:col min="14" max="14" width="7.130000114440918" hidden="0" customWidth="1"/>
    <x:col min="15" max="15" width="7" hidden="0" customWidth="1"/>
    <x:col min="16" max="16" width="7.75" hidden="0" customWidth="1"/>
    <x:col min="17" max="17" width="8.880000114440918" hidden="0" customWidth="1"/>
    <x:col min="18" max="18" width="10.130000114440918" hidden="0" customWidth="1"/>
    <x:col min="19" max="19" width="9.75" hidden="0" customWidth="1"/>
    <x:col min="20" max="20" width="8.75" hidden="0" customWidth="1"/>
    <x:col min="21" max="21" width="9.380000114440918" hidden="0" customWidth="1"/>
    <x:col min="22" max="22" width="14.880000114440918" hidden="0" customWidth="1"/>
  </x:cols>
  <x:sheetData>
    <x:row r="1" ht="24" hidden="0" customHeight="1">
      <x:c r="A1" s="7" t="str">
        <x:v>order_id</x:v>
      </x:c>
      <x:c r="B1" s="7" t="str">
        <x:v>order_date_key</x:v>
      </x:c>
      <x:c r="C1" s="7" t="str">
        <x:v>order_date</x:v>
      </x:c>
      <x:c r="D1" s="7" t="str">
        <x:v>promised_date</x:v>
      </x:c>
      <x:c r="E1" s="7" t="str">
        <x:v>shipped_date</x:v>
      </x:c>
      <x:c r="F1" s="7" t="str">
        <x:v>product_key</x:v>
      </x:c>
      <x:c r="G1" s="7" t="str">
        <x:v>channel_key</x:v>
      </x:c>
      <x:c r="H1" s="7" t="str">
        <x:v>region_key</x:v>
      </x:c>
      <x:c r="I1" s="7" t="str">
        <x:v>ordered_qty</x:v>
      </x:c>
      <x:c r="J1" s="7" t="str">
        <x:v>shipped_qty</x:v>
      </x:c>
      <x:c r="K1" s="7" t="str">
        <x:v>unit_price</x:v>
      </x:c>
      <x:c r="L1" s="7" t="str">
        <x:v>gross_sales</x:v>
      </x:c>
      <x:c r="M1" s="7" t="str">
        <x:v>discount_amount</x:v>
      </x:c>
      <x:c r="N1" s="7" t="str">
        <x:v>net_sales</x:v>
      </x:c>
      <x:c r="O1" s="7" t="str">
        <x:v>unit_cost</x:v>
      </x:c>
      <x:c r="P1" s="7" t="str">
        <x:v>cogs</x:v>
      </x:c>
      <x:c r="Q1" s="7" t="str">
        <x:v>gross_profit</x:v>
      </x:c>
      <x:c r="R1" s="7" t="str">
        <x:v>delivery_days</x:v>
      </x:c>
      <x:c r="S1" s="7" t="str">
        <x:v>on_time_flag</x:v>
      </x:c>
      <x:c r="T1" s="7" t="str">
        <x:v>full_fill_flag</x:v>
      </x:c>
      <x:c r="U1" s="7" t="str">
        <x:v>order_status</x:v>
      </x:c>
      <x:c r="V1" s="7" t="str">
        <x:v>payment_term_days</x:v>
      </x:c>
      <x:c r="W1" s="6" t="str">
        <x:v>product_family</x:v>
      </x:c>
      <x:c r="X1" s="6" t="str">
        <x:v>sku</x:v>
      </x:c>
      <x:c r="Y1" s="6" t="str">
        <x:v>channel_name</x:v>
      </x:c>
      <x:c r="Z1" s="6" t="str">
        <x:v>region_name</x:v>
      </x:c>
      <x:c r="AA1" s="6" t="str">
        <x:v>quarter_seq</x:v>
      </x:c>
    </x:row>
    <x:row r="2" ht="15" hidden="0" customHeight="1">
      <x:c r="A2" s="10" t="str">
        <x:v>SO00001</x:v>
      </x:c>
      <x:c r="B2" s="10" t="n">
        <x:v>202301</x:v>
      </x:c>
      <x:c r="C2" s="10" t="n">
        <x:v>44929</x:v>
      </x:c>
      <x:c r="D2" s="10" t="n">
        <x:v>44936</x:v>
      </x:c>
      <x:c r="E2" s="10" t="n">
        <x:v>44936</x:v>
      </x:c>
      <x:c r="F2" s="10" t="n">
        <x:v>101</x:v>
      </x:c>
      <x:c r="G2" s="10" t="n">
        <x:v>3</x:v>
      </x:c>
      <x:c r="H2" s="10" t="n">
        <x:v>1</x:v>
      </x:c>
      <x:c r="I2" s="10" t="n">
        <x:v>24</x:v>
      </x:c>
      <x:c r="J2" s="10" t="n">
        <x:v>24</x:v>
      </x:c>
      <x:c r="K2" s="64" t="n">
        <x:v>2749.33</x:v>
      </x:c>
      <x:c r="L2" s="64" t="n">
        <x:v>72509.89</x:v>
      </x:c>
      <x:c r="M2" s="64" t="n">
        <x:v>6525.89</x:v>
      </x:c>
      <x:c r="N2" s="64" t="n">
        <x:v>65984</x:v>
      </x:c>
      <x:c r="O2" s="64" t="n">
        <x:v>1818.53</x:v>
      </x:c>
      <x:c r="P2" s="64" t="n">
        <x:v>43644.76</x:v>
      </x:c>
      <x:c r="Q2" s="64" t="n">
        <x:v>22339.24</x:v>
      </x:c>
      <x:c r="R2" s="10" t="n">
        <x:v>7</x:v>
      </x:c>
      <x:c r="S2" s="10" t="n">
        <x:v>1</x:v>
      </x:c>
      <x:c r="T2" s="10" t="n">
        <x:v>1</x:v>
      </x:c>
      <x:c r="U2" s="10" t="str">
        <x:v>Completed</x:v>
      </x:c>
      <x:c r="V2" s="10" t="n">
        <x:v>30</x:v>
      </x:c>
      <x:c r="W2" s="10" t="str">
        <x:f>XLOOKUP(F2,'产品维表'!$A$2:$A$5,'产品维表'!$D$2:$D$5,"未映射")</x:f>
        <x:v>L</x:v>
      </x:c>
      <x:c r="X2" s="10" t="str">
        <x:f>XLOOKUP(F2,'产品维表'!$A$2:$A$5,'产品维表'!$B$2:$B$5,"未映射")</x:f>
        <x:v>L1</x:v>
      </x:c>
      <x:c r="Y2" s="10" t="str">
        <x:f>XLOOKUP(G2,'渠道维表'!$A$2:$A$4,'渠道维表'!$B$2:$B$4,"未映射")</x:f>
        <x:v>区域经销</x:v>
      </x:c>
      <x:c r="Z2" s="10" t="str">
        <x:f>XLOOKUP(H2,'区域维表'!$A$2:$A$5,'区域维表'!$B$2:$B$5,"未映射")</x:f>
        <x:v>华东</x:v>
      </x:c>
      <x:c r="AA2" s="10" t="n">
        <x:f>XLOOKUP(B2,'日期维表'!$A$2:$A$43,'日期维表'!$F$2:$F$43,0)</x:f>
        <x:v>5</x:v>
      </x:c>
    </x:row>
    <x:row r="3" ht="15" hidden="0" customHeight="1">
      <x:c r="A3" s="10" t="str">
        <x:v>SO00002</x:v>
      </x:c>
      <x:c r="B3" s="10" t="n">
        <x:v>202301</x:v>
      </x:c>
      <x:c r="C3" s="10" t="n">
        <x:v>44932</x:v>
      </x:c>
      <x:c r="D3" s="10" t="n">
        <x:v>44940</x:v>
      </x:c>
      <x:c r="E3" s="10" t="n">
        <x:v>44940</x:v>
      </x:c>
      <x:c r="F3" s="10" t="n">
        <x:v>102</x:v>
      </x:c>
      <x:c r="G3" s="10" t="n">
        <x:v>3</x:v>
      </x:c>
      <x:c r="H3" s="10" t="n">
        <x:v>4</x:v>
      </x:c>
      <x:c r="I3" s="10" t="n">
        <x:v>27</x:v>
      </x:c>
      <x:c r="J3" s="10" t="n">
        <x:v>27</x:v>
      </x:c>
      <x:c r="K3" s="64" t="n">
        <x:v>2790.48</x:v>
      </x:c>
      <x:c r="L3" s="64" t="n">
        <x:v>82794.51</x:v>
      </x:c>
      <x:c r="M3" s="64" t="n">
        <x:v>7451.51</x:v>
      </x:c>
      <x:c r="N3" s="64" t="n">
        <x:v>75343</x:v>
      </x:c>
      <x:c r="O3" s="64" t="n">
        <x:v>2200.7</x:v>
      </x:c>
      <x:c r="P3" s="64" t="n">
        <x:v>59419</x:v>
      </x:c>
      <x:c r="Q3" s="64" t="n">
        <x:v>15924</x:v>
      </x:c>
      <x:c r="R3" s="10" t="n">
        <x:v>8</x:v>
      </x:c>
      <x:c r="S3" s="10" t="n">
        <x:v>1</x:v>
      </x:c>
      <x:c r="T3" s="10" t="n">
        <x:v>1</x:v>
      </x:c>
      <x:c r="U3" s="10" t="str">
        <x:v>Completed</x:v>
      </x:c>
      <x:c r="V3" s="10" t="n">
        <x:v>30</x:v>
      </x:c>
      <x:c r="W3" s="10" t="str">
        <x:f>XLOOKUP(F3,'产品维表'!$A$2:$A$5,'产品维表'!$D$2:$D$5,"未映射")</x:f>
        <x:v>L</x:v>
      </x:c>
      <x:c r="X3" s="10" t="str">
        <x:f>XLOOKUP(F3,'产品维表'!$A$2:$A$5,'产品维表'!$B$2:$B$5,"未映射")</x:f>
        <x:v>L2</x:v>
      </x:c>
      <x:c r="Y3" s="10" t="str">
        <x:f>XLOOKUP(G3,'渠道维表'!$A$2:$A$4,'渠道维表'!$B$2:$B$4,"未映射")</x:f>
        <x:v>区域经销</x:v>
      </x:c>
      <x:c r="Z3" s="10" t="str">
        <x:f>XLOOKUP(H3,'区域维表'!$A$2:$A$5,'区域维表'!$B$2:$B$5,"未映射")</x:f>
        <x:v>中西部</x:v>
      </x:c>
      <x:c r="AA3" s="10" t="n">
        <x:f>XLOOKUP(B3,'日期维表'!$A$2:$A$43,'日期维表'!$F$2:$F$43,0)</x:f>
        <x:v>5</x:v>
      </x:c>
    </x:row>
    <x:row r="4" ht="15" hidden="0" customHeight="1">
      <x:c r="A4" s="10" t="str">
        <x:v>SO00003</x:v>
      </x:c>
      <x:c r="B4" s="10" t="n">
        <x:v>202301</x:v>
      </x:c>
      <x:c r="C4" s="10" t="n">
        <x:v>44938</x:v>
      </x:c>
      <x:c r="D4" s="10" t="n">
        <x:v>44945</x:v>
      </x:c>
      <x:c r="E4" s="10" t="n">
        <x:v>44945</x:v>
      </x:c>
      <x:c r="F4" s="10" t="n">
        <x:v>101</x:v>
      </x:c>
      <x:c r="G4" s="10" t="n">
        <x:v>3</x:v>
      </x:c>
      <x:c r="H4" s="10" t="n">
        <x:v>1</x:v>
      </x:c>
      <x:c r="I4" s="10" t="n">
        <x:v>25</x:v>
      </x:c>
      <x:c r="J4" s="10" t="n">
        <x:v>25</x:v>
      </x:c>
      <x:c r="K4" s="64" t="n">
        <x:v>2688.36</x:v>
      </x:c>
      <x:c r="L4" s="64" t="n">
        <x:v>73856.04</x:v>
      </x:c>
      <x:c r="M4" s="64" t="n">
        <x:v>6647.04</x:v>
      </x:c>
      <x:c r="N4" s="64" t="n">
        <x:v>67209</x:v>
      </x:c>
      <x:c r="O4" s="64" t="n">
        <x:v>1858.69</x:v>
      </x:c>
      <x:c r="P4" s="64" t="n">
        <x:v>46467.32</x:v>
      </x:c>
      <x:c r="Q4" s="64" t="n">
        <x:v>20741.68</x:v>
      </x:c>
      <x:c r="R4" s="10" t="n">
        <x:v>7</x:v>
      </x:c>
      <x:c r="S4" s="10" t="n">
        <x:v>1</x:v>
      </x:c>
      <x:c r="T4" s="10" t="n">
        <x:v>1</x:v>
      </x:c>
      <x:c r="U4" s="10" t="str">
        <x:v>Completed</x:v>
      </x:c>
      <x:c r="V4" s="10" t="n">
        <x:v>30</x:v>
      </x:c>
      <x:c r="W4" s="10" t="str">
        <x:f>XLOOKUP(F4,'产品维表'!$A$2:$A$5,'产品维表'!$D$2:$D$5,"未映射")</x:f>
        <x:v>L</x:v>
      </x:c>
      <x:c r="X4" s="10" t="str">
        <x:f>XLOOKUP(F4,'产品维表'!$A$2:$A$5,'产品维表'!$B$2:$B$5,"未映射")</x:f>
        <x:v>L1</x:v>
      </x:c>
      <x:c r="Y4" s="10" t="str">
        <x:f>XLOOKUP(G4,'渠道维表'!$A$2:$A$4,'渠道维表'!$B$2:$B$4,"未映射")</x:f>
        <x:v>区域经销</x:v>
      </x:c>
      <x:c r="Z4" s="10" t="str">
        <x:f>XLOOKUP(H4,'区域维表'!$A$2:$A$5,'区域维表'!$B$2:$B$5,"未映射")</x:f>
        <x:v>华东</x:v>
      </x:c>
      <x:c r="AA4" s="10" t="n">
        <x:f>XLOOKUP(B4,'日期维表'!$A$2:$A$43,'日期维表'!$F$2:$F$43,0)</x:f>
        <x:v>5</x:v>
      </x:c>
    </x:row>
    <x:row r="5" ht="15" hidden="0" customHeight="1">
      <x:c r="A5" s="10" t="str">
        <x:v>SO00004</x:v>
      </x:c>
      <x:c r="B5" s="10" t="n">
        <x:v>202301</x:v>
      </x:c>
      <x:c r="C5" s="10" t="n">
        <x:v>44947</x:v>
      </x:c>
      <x:c r="D5" s="10" t="n">
        <x:v>44953</x:v>
      </x:c>
      <x:c r="E5" s="10" t="n">
        <x:v>44953</x:v>
      </x:c>
      <x:c r="F5" s="10" t="n">
        <x:v>102</x:v>
      </x:c>
      <x:c r="G5" s="10" t="n">
        <x:v>1</x:v>
      </x:c>
      <x:c r="H5" s="10" t="n">
        <x:v>1</x:v>
      </x:c>
      <x:c r="I5" s="10" t="n">
        <x:v>21</x:v>
      </x:c>
      <x:c r="J5" s="10" t="n">
        <x:v>21</x:v>
      </x:c>
      <x:c r="K5" s="64" t="n">
        <x:v>2601.67</x:v>
      </x:c>
      <x:c r="L5" s="64" t="n">
        <x:v>54635</x:v>
      </x:c>
      <x:c r="M5" s="64" t="n">
        <x:v>0</x:v>
      </x:c>
      <x:c r="N5" s="64" t="n">
        <x:v>54635</x:v>
      </x:c>
      <x:c r="O5" s="64" t="n">
        <x:v>1918.76</x:v>
      </x:c>
      <x:c r="P5" s="64" t="n">
        <x:v>40294.04</x:v>
      </x:c>
      <x:c r="Q5" s="64" t="n">
        <x:v>14340.96</x:v>
      </x:c>
      <x:c r="R5" s="10" t="n">
        <x:v>6</x:v>
      </x:c>
      <x:c r="S5" s="10" t="n">
        <x:v>1</x:v>
      </x:c>
      <x:c r="T5" s="10" t="n">
        <x:v>1</x:v>
      </x:c>
      <x:c r="U5" s="10" t="str">
        <x:v>Completed</x:v>
      </x:c>
      <x:c r="V5" s="10" t="n">
        <x:v>0</x:v>
      </x:c>
      <x:c r="W5" s="10" t="str">
        <x:f>XLOOKUP(F5,'产品维表'!$A$2:$A$5,'产品维表'!$D$2:$D$5,"未映射")</x:f>
        <x:v>L</x:v>
      </x:c>
      <x:c r="X5" s="10" t="str">
        <x:f>XLOOKUP(F5,'产品维表'!$A$2:$A$5,'产品维表'!$B$2:$B$5,"未映射")</x:f>
        <x:v>L2</x:v>
      </x:c>
      <x:c r="Y5" s="10" t="str">
        <x:f>XLOOKUP(G5,'渠道维表'!$A$2:$A$4,'渠道维表'!$B$2:$B$4,"未映射")</x:f>
        <x:v>线上直营</x:v>
      </x:c>
      <x:c r="Z5" s="10" t="str">
        <x:f>XLOOKUP(H5,'区域维表'!$A$2:$A$5,'区域维表'!$B$2:$B$5,"未映射")</x:f>
        <x:v>华东</x:v>
      </x:c>
      <x:c r="AA5" s="10" t="n">
        <x:f>XLOOKUP(B5,'日期维表'!$A$2:$A$43,'日期维表'!$F$2:$F$43,0)</x:f>
        <x:v>5</x:v>
      </x:c>
    </x:row>
    <x:row r="6" ht="15" hidden="0" customHeight="1">
      <x:c r="A6" s="10" t="str">
        <x:v>SO00005</x:v>
      </x:c>
      <x:c r="B6" s="10" t="n">
        <x:v>202301</x:v>
      </x:c>
      <x:c r="C6" s="10" t="n">
        <x:v>44940</x:v>
      </x:c>
      <x:c r="D6" s="10" t="n">
        <x:v>44949</x:v>
      </x:c>
      <x:c r="E6" s="10" t="n">
        <x:v>44949</x:v>
      </x:c>
      <x:c r="F6" s="10" t="n">
        <x:v>101</x:v>
      </x:c>
      <x:c r="G6" s="10" t="n">
        <x:v>3</x:v>
      </x:c>
      <x:c r="H6" s="10" t="n">
        <x:v>2</x:v>
      </x:c>
      <x:c r="I6" s="10" t="n">
        <x:v>27</x:v>
      </x:c>
      <x:c r="J6" s="10" t="n">
        <x:v>27</x:v>
      </x:c>
      <x:c r="K6" s="64" t="n">
        <x:v>2713.33</x:v>
      </x:c>
      <x:c r="L6" s="64" t="n">
        <x:v>80505.49</x:v>
      </x:c>
      <x:c r="M6" s="64" t="n">
        <x:v>7245.49</x:v>
      </x:c>
      <x:c r="N6" s="64" t="n">
        <x:v>73260</x:v>
      </x:c>
      <x:c r="O6" s="64" t="n">
        <x:v>1830.73</x:v>
      </x:c>
      <x:c r="P6" s="64" t="n">
        <x:v>49429.83</x:v>
      </x:c>
      <x:c r="Q6" s="64" t="n">
        <x:v>23830.17</x:v>
      </x:c>
      <x:c r="R6" s="10" t="n">
        <x:v>9</x:v>
      </x:c>
      <x:c r="S6" s="10" t="n">
        <x:v>1</x:v>
      </x:c>
      <x:c r="T6" s="10" t="n">
        <x:v>1</x:v>
      </x:c>
      <x:c r="U6" s="10" t="str">
        <x:v>Completed</x:v>
      </x:c>
      <x:c r="V6" s="10" t="n">
        <x:v>30</x:v>
      </x:c>
      <x:c r="W6" s="10" t="str">
        <x:f>XLOOKUP(F6,'产品维表'!$A$2:$A$5,'产品维表'!$D$2:$D$5,"未映射")</x:f>
        <x:v>L</x:v>
      </x:c>
      <x:c r="X6" s="10" t="str">
        <x:f>XLOOKUP(F6,'产品维表'!$A$2:$A$5,'产品维表'!$B$2:$B$5,"未映射")</x:f>
        <x:v>L1</x:v>
      </x:c>
      <x:c r="Y6" s="10" t="str">
        <x:f>XLOOKUP(G6,'渠道维表'!$A$2:$A$4,'渠道维表'!$B$2:$B$4,"未映射")</x:f>
        <x:v>区域经销</x:v>
      </x:c>
      <x:c r="Z6" s="10" t="str">
        <x:f>XLOOKUP(H6,'区域维表'!$A$2:$A$5,'区域维表'!$B$2:$B$5,"未映射")</x:f>
        <x:v>华南</x:v>
      </x:c>
      <x:c r="AA6" s="10" t="n">
        <x:f>XLOOKUP(B6,'日期维表'!$A$2:$A$43,'日期维表'!$F$2:$F$43,0)</x:f>
        <x:v>5</x:v>
      </x:c>
    </x:row>
    <x:row r="7" ht="15" hidden="0" customHeight="1">
      <x:c r="A7" s="10" t="str">
        <x:v>SO00006</x:v>
      </x:c>
      <x:c r="B7" s="10" t="n">
        <x:v>202301</x:v>
      </x:c>
      <x:c r="C7" s="10" t="n">
        <x:v>44935</x:v>
      </x:c>
      <x:c r="D7" s="10" t="n">
        <x:v>44945</x:v>
      </x:c>
      <x:c r="E7" s="10" t="n">
        <x:v>44945</x:v>
      </x:c>
      <x:c r="F7" s="10" t="n">
        <x:v>101</x:v>
      </x:c>
      <x:c r="G7" s="10" t="n">
        <x:v>1</x:v>
      </x:c>
      <x:c r="H7" s="10" t="n">
        <x:v>1</x:v>
      </x:c>
      <x:c r="I7" s="10" t="n">
        <x:v>23</x:v>
      </x:c>
      <x:c r="J7" s="10" t="n">
        <x:v>23</x:v>
      </x:c>
      <x:c r="K7" s="64" t="n">
        <x:v>2894.3</x:v>
      </x:c>
      <x:c r="L7" s="64" t="n">
        <x:v>66569</x:v>
      </x:c>
      <x:c r="M7" s="64" t="n">
        <x:v>0</x:v>
      </x:c>
      <x:c r="N7" s="64" t="n">
        <x:v>66569</x:v>
      </x:c>
      <x:c r="O7" s="64" t="n">
        <x:v>1799.04</x:v>
      </x:c>
      <x:c r="P7" s="64" t="n">
        <x:v>41378.03</x:v>
      </x:c>
      <x:c r="Q7" s="64" t="n">
        <x:v>25190.97</x:v>
      </x:c>
      <x:c r="R7" s="10" t="n">
        <x:v>10</x:v>
      </x:c>
      <x:c r="S7" s="10" t="n">
        <x:v>1</x:v>
      </x:c>
      <x:c r="T7" s="10" t="n">
        <x:v>1</x:v>
      </x:c>
      <x:c r="U7" s="10" t="str">
        <x:v>Completed</x:v>
      </x:c>
      <x:c r="V7" s="10" t="n">
        <x:v>0</x:v>
      </x:c>
      <x:c r="W7" s="10" t="str">
        <x:f>XLOOKUP(F7,'产品维表'!$A$2:$A$5,'产品维表'!$D$2:$D$5,"未映射")</x:f>
        <x:v>L</x:v>
      </x:c>
      <x:c r="X7" s="10" t="str">
        <x:f>XLOOKUP(F7,'产品维表'!$A$2:$A$5,'产品维表'!$B$2:$B$5,"未映射")</x:f>
        <x:v>L1</x:v>
      </x:c>
      <x:c r="Y7" s="10" t="str">
        <x:f>XLOOKUP(G7,'渠道维表'!$A$2:$A$4,'渠道维表'!$B$2:$B$4,"未映射")</x:f>
        <x:v>线上直营</x:v>
      </x:c>
      <x:c r="Z7" s="10" t="str">
        <x:f>XLOOKUP(H7,'区域维表'!$A$2:$A$5,'区域维表'!$B$2:$B$5,"未映射")</x:f>
        <x:v>华东</x:v>
      </x:c>
      <x:c r="AA7" s="10" t="n">
        <x:f>XLOOKUP(B7,'日期维表'!$A$2:$A$43,'日期维表'!$F$2:$F$43,0)</x:f>
        <x:v>5</x:v>
      </x:c>
    </x:row>
    <x:row r="8" ht="15" hidden="0" customHeight="1">
      <x:c r="A8" s="10" t="str">
        <x:v>SO00007</x:v>
      </x:c>
      <x:c r="B8" s="10" t="n">
        <x:v>202301</x:v>
      </x:c>
      <x:c r="C8" s="10" t="n">
        <x:v>44939</x:v>
      </x:c>
      <x:c r="D8" s="10" t="n">
        <x:v>44947</x:v>
      </x:c>
      <x:c r="E8" s="10" t="n">
        <x:v>44947</x:v>
      </x:c>
      <x:c r="F8" s="10" t="n">
        <x:v>102</x:v>
      </x:c>
      <x:c r="G8" s="10" t="n">
        <x:v>1</x:v>
      </x:c>
      <x:c r="H8" s="10" t="n">
        <x:v>2</x:v>
      </x:c>
      <x:c r="I8" s="10" t="n">
        <x:v>26</x:v>
      </x:c>
      <x:c r="J8" s="10" t="n">
        <x:v>26</x:v>
      </x:c>
      <x:c r="K8" s="64" t="n">
        <x:v>2730.88</x:v>
      </x:c>
      <x:c r="L8" s="64" t="n">
        <x:v>71003</x:v>
      </x:c>
      <x:c r="M8" s="64" t="n">
        <x:v>0</x:v>
      </x:c>
      <x:c r="N8" s="64" t="n">
        <x:v>71003</x:v>
      </x:c>
      <x:c r="O8" s="64" t="n">
        <x:v>2196.87</x:v>
      </x:c>
      <x:c r="P8" s="64" t="n">
        <x:v>57118.53</x:v>
      </x:c>
      <x:c r="Q8" s="64" t="n">
        <x:v>13884.47</x:v>
      </x:c>
      <x:c r="R8" s="10" t="n">
        <x:v>8</x:v>
      </x:c>
      <x:c r="S8" s="10" t="n">
        <x:v>1</x:v>
      </x:c>
      <x:c r="T8" s="10" t="n">
        <x:v>1</x:v>
      </x:c>
      <x:c r="U8" s="10" t="str">
        <x:v>Completed</x:v>
      </x:c>
      <x:c r="V8" s="10" t="n">
        <x:v>0</x:v>
      </x:c>
      <x:c r="W8" s="10" t="str">
        <x:f>XLOOKUP(F8,'产品维表'!$A$2:$A$5,'产品维表'!$D$2:$D$5,"未映射")</x:f>
        <x:v>L</x:v>
      </x:c>
      <x:c r="X8" s="10" t="str">
        <x:f>XLOOKUP(F8,'产品维表'!$A$2:$A$5,'产品维表'!$B$2:$B$5,"未映射")</x:f>
        <x:v>L2</x:v>
      </x:c>
      <x:c r="Y8" s="10" t="str">
        <x:f>XLOOKUP(G8,'渠道维表'!$A$2:$A$4,'渠道维表'!$B$2:$B$4,"未映射")</x:f>
        <x:v>线上直营</x:v>
      </x:c>
      <x:c r="Z8" s="10" t="str">
        <x:f>XLOOKUP(H8,'区域维表'!$A$2:$A$5,'区域维表'!$B$2:$B$5,"未映射")</x:f>
        <x:v>华南</x:v>
      </x:c>
      <x:c r="AA8" s="10" t="n">
        <x:f>XLOOKUP(B8,'日期维表'!$A$2:$A$43,'日期维表'!$F$2:$F$43,0)</x:f>
        <x:v>5</x:v>
      </x:c>
    </x:row>
    <x:row r="9" ht="15" hidden="0" customHeight="1">
      <x:c r="A9" s="10" t="str">
        <x:v>SO00008</x:v>
      </x:c>
      <x:c r="B9" s="10" t="n">
        <x:v>202301</x:v>
      </x:c>
      <x:c r="C9" s="10" t="n">
        <x:v>44937</x:v>
      </x:c>
      <x:c r="D9" s="10" t="n">
        <x:v>44948</x:v>
      </x:c>
      <x:c r="E9" s="10" t="n">
        <x:v>44948</x:v>
      </x:c>
      <x:c r="F9" s="10" t="n">
        <x:v>101</x:v>
      </x:c>
      <x:c r="G9" s="10" t="n">
        <x:v>3</x:v>
      </x:c>
      <x:c r="H9" s="10" t="n">
        <x:v>3</x:v>
      </x:c>
      <x:c r="I9" s="10" t="n">
        <x:v>27</x:v>
      </x:c>
      <x:c r="J9" s="10" t="n">
        <x:v>27</x:v>
      </x:c>
      <x:c r="K9" s="64" t="n">
        <x:v>2793.48</x:v>
      </x:c>
      <x:c r="L9" s="64" t="n">
        <x:v>82883.52</x:v>
      </x:c>
      <x:c r="M9" s="64" t="n">
        <x:v>7459.52</x:v>
      </x:c>
      <x:c r="N9" s="64" t="n">
        <x:v>75424</x:v>
      </x:c>
      <x:c r="O9" s="64" t="n">
        <x:v>1835.48</x:v>
      </x:c>
      <x:c r="P9" s="64" t="n">
        <x:v>49558.04</x:v>
      </x:c>
      <x:c r="Q9" s="64" t="n">
        <x:v>25865.96</x:v>
      </x:c>
      <x:c r="R9" s="10" t="n">
        <x:v>11</x:v>
      </x:c>
      <x:c r="S9" s="10" t="n">
        <x:v>1</x:v>
      </x:c>
      <x:c r="T9" s="10" t="n">
        <x:v>1</x:v>
      </x:c>
      <x:c r="U9" s="10" t="str">
        <x:v>Completed</x:v>
      </x:c>
      <x:c r="V9" s="10" t="n">
        <x:v>30</x:v>
      </x:c>
      <x:c r="W9" s="10" t="str">
        <x:f>XLOOKUP(F9,'产品维表'!$A$2:$A$5,'产品维表'!$D$2:$D$5,"未映射")</x:f>
        <x:v>L</x:v>
      </x:c>
      <x:c r="X9" s="10" t="str">
        <x:f>XLOOKUP(F9,'产品维表'!$A$2:$A$5,'产品维表'!$B$2:$B$5,"未映射")</x:f>
        <x:v>L1</x:v>
      </x:c>
      <x:c r="Y9" s="10" t="str">
        <x:f>XLOOKUP(G9,'渠道维表'!$A$2:$A$4,'渠道维表'!$B$2:$B$4,"未映射")</x:f>
        <x:v>区域经销</x:v>
      </x:c>
      <x:c r="Z9" s="10" t="str">
        <x:f>XLOOKUP(H9,'区域维表'!$A$2:$A$5,'区域维表'!$B$2:$B$5,"未映射")</x:f>
        <x:v>华北</x:v>
      </x:c>
      <x:c r="AA9" s="10" t="n">
        <x:f>XLOOKUP(B9,'日期维表'!$A$2:$A$43,'日期维表'!$F$2:$F$43,0)</x:f>
        <x:v>5</x:v>
      </x:c>
    </x:row>
    <x:row r="10" ht="15" hidden="0" customHeight="1">
      <x:c r="A10" s="10" t="str">
        <x:v>SO00009</x:v>
      </x:c>
      <x:c r="B10" s="10" t="n">
        <x:v>202302</x:v>
      </x:c>
      <x:c r="C10" s="10" t="n">
        <x:v>44968</x:v>
      </x:c>
      <x:c r="D10" s="10" t="n">
        <x:v>44978</x:v>
      </x:c>
      <x:c r="E10" s="10" t="n">
        <x:v>44978</x:v>
      </x:c>
      <x:c r="F10" s="10" t="n">
        <x:v>101</x:v>
      </x:c>
      <x:c r="G10" s="10" t="n">
        <x:v>3</x:v>
      </x:c>
      <x:c r="H10" s="10" t="n">
        <x:v>2</x:v>
      </x:c>
      <x:c r="I10" s="10" t="n">
        <x:v>22</x:v>
      </x:c>
      <x:c r="J10" s="10" t="n">
        <x:v>22</x:v>
      </x:c>
      <x:c r="K10" s="64" t="n">
        <x:v>2711.86</x:v>
      </x:c>
      <x:c r="L10" s="64" t="n">
        <x:v>65561.54</x:v>
      </x:c>
      <x:c r="M10" s="64" t="n">
        <x:v>5900.54</x:v>
      </x:c>
      <x:c r="N10" s="64" t="n">
        <x:v>59661</x:v>
      </x:c>
      <x:c r="O10" s="64" t="n">
        <x:v>1817.44</x:v>
      </x:c>
      <x:c r="P10" s="64" t="n">
        <x:v>39983.74</x:v>
      </x:c>
      <x:c r="Q10" s="64" t="n">
        <x:v>19677.26</x:v>
      </x:c>
      <x:c r="R10" s="10" t="n">
        <x:v>10</x:v>
      </x:c>
      <x:c r="S10" s="10" t="n">
        <x:v>1</x:v>
      </x:c>
      <x:c r="T10" s="10" t="n">
        <x:v>1</x:v>
      </x:c>
      <x:c r="U10" s="10" t="str">
        <x:v>Completed</x:v>
      </x:c>
      <x:c r="V10" s="10" t="n">
        <x:v>30</x:v>
      </x:c>
      <x:c r="W10" s="10" t="str">
        <x:f>XLOOKUP(F10,'产品维表'!$A$2:$A$5,'产品维表'!$D$2:$D$5,"未映射")</x:f>
        <x:v>L</x:v>
      </x:c>
      <x:c r="X10" s="10" t="str">
        <x:f>XLOOKUP(F10,'产品维表'!$A$2:$A$5,'产品维表'!$B$2:$B$5,"未映射")</x:f>
        <x:v>L1</x:v>
      </x:c>
      <x:c r="Y10" s="10" t="str">
        <x:f>XLOOKUP(G10,'渠道维表'!$A$2:$A$4,'渠道维表'!$B$2:$B$4,"未映射")</x:f>
        <x:v>区域经销</x:v>
      </x:c>
      <x:c r="Z10" s="10" t="str">
        <x:f>XLOOKUP(H10,'区域维表'!$A$2:$A$5,'区域维表'!$B$2:$B$5,"未映射")</x:f>
        <x:v>华南</x:v>
      </x:c>
      <x:c r="AA10" s="10" t="n">
        <x:f>XLOOKUP(B10,'日期维表'!$A$2:$A$43,'日期维表'!$F$2:$F$43,0)</x:f>
        <x:v>5</x:v>
      </x:c>
    </x:row>
    <x:row r="11" ht="15" hidden="0" customHeight="1">
      <x:c r="A11" s="10" t="str">
        <x:v>SO00010</x:v>
      </x:c>
      <x:c r="B11" s="10" t="n">
        <x:v>202302</x:v>
      </x:c>
      <x:c r="C11" s="10" t="n">
        <x:v>44964</x:v>
      </x:c>
      <x:c r="D11" s="10" t="n">
        <x:v>44972</x:v>
      </x:c>
      <x:c r="E11" s="10" t="n">
        <x:v>44972</x:v>
      </x:c>
      <x:c r="F11" s="10" t="n">
        <x:v>101</x:v>
      </x:c>
      <x:c r="G11" s="10" t="n">
        <x:v>3</x:v>
      </x:c>
      <x:c r="H11" s="10" t="n">
        <x:v>2</x:v>
      </x:c>
      <x:c r="I11" s="10" t="n">
        <x:v>15</x:v>
      </x:c>
      <x:c r="J11" s="10" t="n">
        <x:v>15</x:v>
      </x:c>
      <x:c r="K11" s="64" t="n">
        <x:v>2694.6</x:v>
      </x:c>
      <x:c r="L11" s="64" t="n">
        <x:v>44416.48</x:v>
      </x:c>
      <x:c r="M11" s="64" t="n">
        <x:v>3997.48</x:v>
      </x:c>
      <x:c r="N11" s="64" t="n">
        <x:v>40419</x:v>
      </x:c>
      <x:c r="O11" s="64" t="n">
        <x:v>1826.39</x:v>
      </x:c>
      <x:c r="P11" s="64" t="n">
        <x:v>27395.9</x:v>
      </x:c>
      <x:c r="Q11" s="64" t="n">
        <x:v>13023.1</x:v>
      </x:c>
      <x:c r="R11" s="10" t="n">
        <x:v>8</x:v>
      </x:c>
      <x:c r="S11" s="10" t="n">
        <x:v>1</x:v>
      </x:c>
      <x:c r="T11" s="10" t="n">
        <x:v>1</x:v>
      </x:c>
      <x:c r="U11" s="10" t="str">
        <x:v>Completed</x:v>
      </x:c>
      <x:c r="V11" s="10" t="n">
        <x:v>30</x:v>
      </x:c>
      <x:c r="W11" s="10" t="str">
        <x:f>XLOOKUP(F11,'产品维表'!$A$2:$A$5,'产品维表'!$D$2:$D$5,"未映射")</x:f>
        <x:v>L</x:v>
      </x:c>
      <x:c r="X11" s="10" t="str">
        <x:f>XLOOKUP(F11,'产品维表'!$A$2:$A$5,'产品维表'!$B$2:$B$5,"未映射")</x:f>
        <x:v>L1</x:v>
      </x:c>
      <x:c r="Y11" s="10" t="str">
        <x:f>XLOOKUP(G11,'渠道维表'!$A$2:$A$4,'渠道维表'!$B$2:$B$4,"未映射")</x:f>
        <x:v>区域经销</x:v>
      </x:c>
      <x:c r="Z11" s="10" t="str">
        <x:f>XLOOKUP(H11,'区域维表'!$A$2:$A$5,'区域维表'!$B$2:$B$5,"未映射")</x:f>
        <x:v>华南</x:v>
      </x:c>
      <x:c r="AA11" s="10" t="n">
        <x:f>XLOOKUP(B11,'日期维表'!$A$2:$A$43,'日期维表'!$F$2:$F$43,0)</x:f>
        <x:v>5</x:v>
      </x:c>
    </x:row>
    <x:row r="12" ht="15" hidden="0" customHeight="1">
      <x:c r="A12" s="10" t="str">
        <x:v>SO00011</x:v>
      </x:c>
      <x:c r="B12" s="10" t="n">
        <x:v>202302</x:v>
      </x:c>
      <x:c r="C12" s="10" t="n">
        <x:v>44960</x:v>
      </x:c>
      <x:c r="D12" s="10" t="n">
        <x:v>44971</x:v>
      </x:c>
      <x:c r="E12" s="10" t="n">
        <x:v>44974</x:v>
      </x:c>
      <x:c r="F12" s="10" t="n">
        <x:v>102</x:v>
      </x:c>
      <x:c r="G12" s="10" t="n">
        <x:v>3</x:v>
      </x:c>
      <x:c r="H12" s="10" t="n">
        <x:v>4</x:v>
      </x:c>
      <x:c r="I12" s="10" t="n">
        <x:v>34</x:v>
      </x:c>
      <x:c r="J12" s="10" t="n">
        <x:v>34</x:v>
      </x:c>
      <x:c r="K12" s="64" t="n">
        <x:v>2743.21</x:v>
      </x:c>
      <x:c r="L12" s="64" t="n">
        <x:v>102493.41</x:v>
      </x:c>
      <x:c r="M12" s="64" t="n">
        <x:v>9224.41</x:v>
      </x:c>
      <x:c r="N12" s="64" t="n">
        <x:v>93269</x:v>
      </x:c>
      <x:c r="O12" s="64" t="n">
        <x:v>2201.47</x:v>
      </x:c>
      <x:c r="P12" s="64" t="n">
        <x:v>74850.09</x:v>
      </x:c>
      <x:c r="Q12" s="64" t="n">
        <x:v>18418.91</x:v>
      </x:c>
      <x:c r="R12" s="10" t="n">
        <x:v>14</x:v>
      </x:c>
      <x:c r="S12" s="10" t="n">
        <x:v>0</x:v>
      </x:c>
      <x:c r="T12" s="10" t="n">
        <x:v>1</x:v>
      </x:c>
      <x:c r="U12" s="10" t="str">
        <x:v>Completed</x:v>
      </x:c>
      <x:c r="V12" s="10" t="n">
        <x:v>30</x:v>
      </x:c>
      <x:c r="W12" s="10" t="str">
        <x:f>XLOOKUP(F12,'产品维表'!$A$2:$A$5,'产品维表'!$D$2:$D$5,"未映射")</x:f>
        <x:v>L</x:v>
      </x:c>
      <x:c r="X12" s="10" t="str">
        <x:f>XLOOKUP(F12,'产品维表'!$A$2:$A$5,'产品维表'!$B$2:$B$5,"未映射")</x:f>
        <x:v>L2</x:v>
      </x:c>
      <x:c r="Y12" s="10" t="str">
        <x:f>XLOOKUP(G12,'渠道维表'!$A$2:$A$4,'渠道维表'!$B$2:$B$4,"未映射")</x:f>
        <x:v>区域经销</x:v>
      </x:c>
      <x:c r="Z12" s="10" t="str">
        <x:f>XLOOKUP(H12,'区域维表'!$A$2:$A$5,'区域维表'!$B$2:$B$5,"未映射")</x:f>
        <x:v>中西部</x:v>
      </x:c>
      <x:c r="AA12" s="10" t="n">
        <x:f>XLOOKUP(B12,'日期维表'!$A$2:$A$43,'日期维表'!$F$2:$F$43,0)</x:f>
        <x:v>5</x:v>
      </x:c>
    </x:row>
    <x:row r="13" ht="15" hidden="0" customHeight="1">
      <x:c r="A13" s="10" t="str">
        <x:v>SO00012</x:v>
      </x:c>
      <x:c r="B13" s="10" t="n">
        <x:v>202302</x:v>
      </x:c>
      <x:c r="C13" s="10" t="n">
        <x:v>44980</x:v>
      </x:c>
      <x:c r="D13" s="10" t="n">
        <x:v>44991</x:v>
      </x:c>
      <x:c r="E13" s="10" t="n">
        <x:v>44991</x:v>
      </x:c>
      <x:c r="F13" s="10" t="n">
        <x:v>102</x:v>
      </x:c>
      <x:c r="G13" s="10" t="n">
        <x:v>3</x:v>
      </x:c>
      <x:c r="H13" s="10" t="n">
        <x:v>2</x:v>
      </x:c>
      <x:c r="I13" s="10" t="n">
        <x:v>24</x:v>
      </x:c>
      <x:c r="J13" s="10" t="n">
        <x:v>24</x:v>
      </x:c>
      <x:c r="K13" s="64" t="n">
        <x:v>2698.67</x:v>
      </x:c>
      <x:c r="L13" s="64" t="n">
        <x:v>71173.63</x:v>
      </x:c>
      <x:c r="M13" s="64" t="n">
        <x:v>6405.63</x:v>
      </x:c>
      <x:c r="N13" s="64" t="n">
        <x:v>64768</x:v>
      </x:c>
      <x:c r="O13" s="64" t="n">
        <x:v>2221.57</x:v>
      </x:c>
      <x:c r="P13" s="64" t="n">
        <x:v>53317.71</x:v>
      </x:c>
      <x:c r="Q13" s="64" t="n">
        <x:v>11450.29</x:v>
      </x:c>
      <x:c r="R13" s="10" t="n">
        <x:v>11</x:v>
      </x:c>
      <x:c r="S13" s="10" t="n">
        <x:v>1</x:v>
      </x:c>
      <x:c r="T13" s="10" t="n">
        <x:v>1</x:v>
      </x:c>
      <x:c r="U13" s="10" t="str">
        <x:v>Completed</x:v>
      </x:c>
      <x:c r="V13" s="10" t="n">
        <x:v>30</x:v>
      </x:c>
      <x:c r="W13" s="10" t="str">
        <x:f>XLOOKUP(F13,'产品维表'!$A$2:$A$5,'产品维表'!$D$2:$D$5,"未映射")</x:f>
        <x:v>L</x:v>
      </x:c>
      <x:c r="X13" s="10" t="str">
        <x:f>XLOOKUP(F13,'产品维表'!$A$2:$A$5,'产品维表'!$B$2:$B$5,"未映射")</x:f>
        <x:v>L2</x:v>
      </x:c>
      <x:c r="Y13" s="10" t="str">
        <x:f>XLOOKUP(G13,'渠道维表'!$A$2:$A$4,'渠道维表'!$B$2:$B$4,"未映射")</x:f>
        <x:v>区域经销</x:v>
      </x:c>
      <x:c r="Z13" s="10" t="str">
        <x:f>XLOOKUP(H13,'区域维表'!$A$2:$A$5,'区域维表'!$B$2:$B$5,"未映射")</x:f>
        <x:v>华南</x:v>
      </x:c>
      <x:c r="AA13" s="10" t="n">
        <x:f>XLOOKUP(B13,'日期维表'!$A$2:$A$43,'日期维表'!$F$2:$F$43,0)</x:f>
        <x:v>5</x:v>
      </x:c>
    </x:row>
    <x:row r="14" ht="15" hidden="0" customHeight="1">
      <x:c r="A14" s="10" t="str">
        <x:v>SO00013</x:v>
      </x:c>
      <x:c r="B14" s="10" t="n">
        <x:v>202302</x:v>
      </x:c>
      <x:c r="C14" s="10" t="n">
        <x:v>44974</x:v>
      </x:c>
      <x:c r="D14" s="10" t="n">
        <x:v>44986</x:v>
      </x:c>
      <x:c r="E14" s="10" t="n">
        <x:v>44986</x:v>
      </x:c>
      <x:c r="F14" s="10" t="n">
        <x:v>101</x:v>
      </x:c>
      <x:c r="G14" s="10" t="n">
        <x:v>3</x:v>
      </x:c>
      <x:c r="H14" s="10" t="n">
        <x:v>4</x:v>
      </x:c>
      <x:c r="I14" s="10" t="n">
        <x:v>37</x:v>
      </x:c>
      <x:c r="J14" s="10" t="n">
        <x:v>37</x:v>
      </x:c>
      <x:c r="K14" s="64" t="n">
        <x:v>2810.11</x:v>
      </x:c>
      <x:c r="L14" s="64" t="n">
        <x:v>114257.14</x:v>
      </x:c>
      <x:c r="M14" s="64" t="n">
        <x:v>10283.14</x:v>
      </x:c>
      <x:c r="N14" s="64" t="n">
        <x:v>103974</x:v>
      </x:c>
      <x:c r="O14" s="64" t="n">
        <x:v>1844.83</x:v>
      </x:c>
      <x:c r="P14" s="64" t="n">
        <x:v>68258.86</x:v>
      </x:c>
      <x:c r="Q14" s="64" t="n">
        <x:v>35715.14</x:v>
      </x:c>
      <x:c r="R14" s="10" t="n">
        <x:v>12</x:v>
      </x:c>
      <x:c r="S14" s="10" t="n">
        <x:v>1</x:v>
      </x:c>
      <x:c r="T14" s="10" t="n">
        <x:v>1</x:v>
      </x:c>
      <x:c r="U14" s="10" t="str">
        <x:v>Completed</x:v>
      </x:c>
      <x:c r="V14" s="10" t="n">
        <x:v>30</x:v>
      </x:c>
      <x:c r="W14" s="10" t="str">
        <x:f>XLOOKUP(F14,'产品维表'!$A$2:$A$5,'产品维表'!$D$2:$D$5,"未映射")</x:f>
        <x:v>L</x:v>
      </x:c>
      <x:c r="X14" s="10" t="str">
        <x:f>XLOOKUP(F14,'产品维表'!$A$2:$A$5,'产品维表'!$B$2:$B$5,"未映射")</x:f>
        <x:v>L1</x:v>
      </x:c>
      <x:c r="Y14" s="10" t="str">
        <x:f>XLOOKUP(G14,'渠道维表'!$A$2:$A$4,'渠道维表'!$B$2:$B$4,"未映射")</x:f>
        <x:v>区域经销</x:v>
      </x:c>
      <x:c r="Z14" s="10" t="str">
        <x:f>XLOOKUP(H14,'区域维表'!$A$2:$A$5,'区域维表'!$B$2:$B$5,"未映射")</x:f>
        <x:v>中西部</x:v>
      </x:c>
      <x:c r="AA14" s="10" t="n">
        <x:f>XLOOKUP(B14,'日期维表'!$A$2:$A$43,'日期维表'!$F$2:$F$43,0)</x:f>
        <x:v>5</x:v>
      </x:c>
    </x:row>
    <x:row r="15" ht="15" hidden="0" customHeight="1">
      <x:c r="A15" s="10" t="str">
        <x:v>SO00014</x:v>
      </x:c>
      <x:c r="B15" s="10" t="n">
        <x:v>202302</x:v>
      </x:c>
      <x:c r="C15" s="10" t="n">
        <x:v>44963</x:v>
      </x:c>
      <x:c r="D15" s="10" t="n">
        <x:v>44975</x:v>
      </x:c>
      <x:c r="E15" s="10" t="n">
        <x:v>44975</x:v>
      </x:c>
      <x:c r="F15" s="10" t="n">
        <x:v>102</x:v>
      </x:c>
      <x:c r="G15" s="10" t="n">
        <x:v>1</x:v>
      </x:c>
      <x:c r="H15" s="10" t="n">
        <x:v>2</x:v>
      </x:c>
      <x:c r="I15" s="10" t="n">
        <x:v>20</x:v>
      </x:c>
      <x:c r="J15" s="10" t="n">
        <x:v>20</x:v>
      </x:c>
      <x:c r="K15" s="64" t="n">
        <x:v>2616.8</x:v>
      </x:c>
      <x:c r="L15" s="64" t="n">
        <x:v>52336</x:v>
      </x:c>
      <x:c r="M15" s="64" t="n">
        <x:v>0</x:v>
      </x:c>
      <x:c r="N15" s="64" t="n">
        <x:v>52336</x:v>
      </x:c>
      <x:c r="O15" s="64" t="n">
        <x:v>2200.29</x:v>
      </x:c>
      <x:c r="P15" s="64" t="n">
        <x:v>44005.84</x:v>
      </x:c>
      <x:c r="Q15" s="64" t="n">
        <x:v>8330.16</x:v>
      </x:c>
      <x:c r="R15" s="10" t="n">
        <x:v>12</x:v>
      </x:c>
      <x:c r="S15" s="10" t="n">
        <x:v>1</x:v>
      </x:c>
      <x:c r="T15" s="10" t="n">
        <x:v>1</x:v>
      </x:c>
      <x:c r="U15" s="10" t="str">
        <x:v>Completed</x:v>
      </x:c>
      <x:c r="V15" s="10" t="n">
        <x:v>0</x:v>
      </x:c>
      <x:c r="W15" s="10" t="str">
        <x:f>XLOOKUP(F15,'产品维表'!$A$2:$A$5,'产品维表'!$D$2:$D$5,"未映射")</x:f>
        <x:v>L</x:v>
      </x:c>
      <x:c r="X15" s="10" t="str">
        <x:f>XLOOKUP(F15,'产品维表'!$A$2:$A$5,'产品维表'!$B$2:$B$5,"未映射")</x:f>
        <x:v>L2</x:v>
      </x:c>
      <x:c r="Y15" s="10" t="str">
        <x:f>XLOOKUP(G15,'渠道维表'!$A$2:$A$4,'渠道维表'!$B$2:$B$4,"未映射")</x:f>
        <x:v>线上直营</x:v>
      </x:c>
      <x:c r="Z15" s="10" t="str">
        <x:f>XLOOKUP(H15,'区域维表'!$A$2:$A$5,'区域维表'!$B$2:$B$5,"未映射")</x:f>
        <x:v>华南</x:v>
      </x:c>
      <x:c r="AA15" s="10" t="n">
        <x:f>XLOOKUP(B15,'日期维表'!$A$2:$A$43,'日期维表'!$F$2:$F$43,0)</x:f>
        <x:v>5</x:v>
      </x:c>
    </x:row>
    <x:row r="16" ht="15" hidden="0" customHeight="1">
      <x:c r="A16" s="10" t="str">
        <x:v>SO00015</x:v>
      </x:c>
      <x:c r="B16" s="10" t="n">
        <x:v>202302</x:v>
      </x:c>
      <x:c r="C16" s="10" t="n">
        <x:v>44965</x:v>
      </x:c>
      <x:c r="D16" s="10" t="n">
        <x:v>44972</x:v>
      </x:c>
      <x:c r="E16" s="10" t="n">
        <x:v>44972</x:v>
      </x:c>
      <x:c r="F16" s="10" t="n">
        <x:v>102</x:v>
      </x:c>
      <x:c r="G16" s="10" t="n">
        <x:v>3</x:v>
      </x:c>
      <x:c r="H16" s="10" t="n">
        <x:v>3</x:v>
      </x:c>
      <x:c r="I16" s="10" t="n">
        <x:v>33</x:v>
      </x:c>
      <x:c r="J16" s="10" t="n">
        <x:v>33</x:v>
      </x:c>
      <x:c r="K16" s="64" t="n">
        <x:v>2684.15</x:v>
      </x:c>
      <x:c r="L16" s="64" t="n">
        <x:v>97337.36</x:v>
      </x:c>
      <x:c r="M16" s="64" t="n">
        <x:v>8760.36</x:v>
      </x:c>
      <x:c r="N16" s="64" t="n">
        <x:v>88577</x:v>
      </x:c>
      <x:c r="O16" s="64" t="n">
        <x:v>2227.93</x:v>
      </x:c>
      <x:c r="P16" s="64" t="n">
        <x:v>73521.59</x:v>
      </x:c>
      <x:c r="Q16" s="64" t="n">
        <x:v>15055.41</x:v>
      </x:c>
      <x:c r="R16" s="10" t="n">
        <x:v>7</x:v>
      </x:c>
      <x:c r="S16" s="10" t="n">
        <x:v>1</x:v>
      </x:c>
      <x:c r="T16" s="10" t="n">
        <x:v>1</x:v>
      </x:c>
      <x:c r="U16" s="10" t="str">
        <x:v>Completed</x:v>
      </x:c>
      <x:c r="V16" s="10" t="n">
        <x:v>30</x:v>
      </x:c>
      <x:c r="W16" s="10" t="str">
        <x:f>XLOOKUP(F16,'产品维表'!$A$2:$A$5,'产品维表'!$D$2:$D$5,"未映射")</x:f>
        <x:v>L</x:v>
      </x:c>
      <x:c r="X16" s="10" t="str">
        <x:f>XLOOKUP(F16,'产品维表'!$A$2:$A$5,'产品维表'!$B$2:$B$5,"未映射")</x:f>
        <x:v>L2</x:v>
      </x:c>
      <x:c r="Y16" s="10" t="str">
        <x:f>XLOOKUP(G16,'渠道维表'!$A$2:$A$4,'渠道维表'!$B$2:$B$4,"未映射")</x:f>
        <x:v>区域经销</x:v>
      </x:c>
      <x:c r="Z16" s="10" t="str">
        <x:f>XLOOKUP(H16,'区域维表'!$A$2:$A$5,'区域维表'!$B$2:$B$5,"未映射")</x:f>
        <x:v>华北</x:v>
      </x:c>
      <x:c r="AA16" s="10" t="n">
        <x:f>XLOOKUP(B16,'日期维表'!$A$2:$A$43,'日期维表'!$F$2:$F$43,0)</x:f>
        <x:v>5</x:v>
      </x:c>
    </x:row>
    <x:row r="17" ht="15" hidden="0" customHeight="1">
      <x:c r="A17" s="10" t="str">
        <x:v>SO00016</x:v>
      </x:c>
      <x:c r="B17" s="10" t="n">
        <x:v>202302</x:v>
      </x:c>
      <x:c r="C17" s="10" t="n">
        <x:v>44966</x:v>
      </x:c>
      <x:c r="D17" s="10" t="n">
        <x:v>44977</x:v>
      </x:c>
      <x:c r="E17" s="10" t="n">
        <x:v>44977</x:v>
      </x:c>
      <x:c r="F17" s="10" t="n">
        <x:v>102</x:v>
      </x:c>
      <x:c r="G17" s="10" t="n">
        <x:v>2</x:v>
      </x:c>
      <x:c r="H17" s="10" t="n">
        <x:v>2</x:v>
      </x:c>
      <x:c r="I17" s="10" t="n">
        <x:v>37</x:v>
      </x:c>
      <x:c r="J17" s="10" t="n">
        <x:v>37</x:v>
      </x:c>
      <x:c r="K17" s="64" t="n">
        <x:v>2888.46</x:v>
      </x:c>
      <x:c r="L17" s="64" t="n">
        <x:v>110178.35</x:v>
      </x:c>
      <x:c r="M17" s="64" t="n">
        <x:v>3305.35</x:v>
      </x:c>
      <x:c r="N17" s="64" t="n">
        <x:v>106873</x:v>
      </x:c>
      <x:c r="O17" s="64" t="n">
        <x:v>2287</x:v>
      </x:c>
      <x:c r="P17" s="64" t="n">
        <x:v>84618.97</x:v>
      </x:c>
      <x:c r="Q17" s="64" t="n">
        <x:v>22254.03</x:v>
      </x:c>
      <x:c r="R17" s="10" t="n">
        <x:v>11</x:v>
      </x:c>
      <x:c r="S17" s="10" t="n">
        <x:v>1</x:v>
      </x:c>
      <x:c r="T17" s="10" t="n">
        <x:v>1</x:v>
      </x:c>
      <x:c r="U17" s="10" t="str">
        <x:v>Completed</x:v>
      </x:c>
      <x:c r="V17" s="10" t="n">
        <x:v>15</x:v>
      </x:c>
      <x:c r="W17" s="10" t="str">
        <x:f>XLOOKUP(F17,'产品维表'!$A$2:$A$5,'产品维表'!$D$2:$D$5,"未映射")</x:f>
        <x:v>L</x:v>
      </x:c>
      <x:c r="X17" s="10" t="str">
        <x:f>XLOOKUP(F17,'产品维表'!$A$2:$A$5,'产品维表'!$B$2:$B$5,"未映射")</x:f>
        <x:v>L2</x:v>
      </x:c>
      <x:c r="Y17" s="10" t="str">
        <x:f>XLOOKUP(G17,'渠道维表'!$A$2:$A$4,'渠道维表'!$B$2:$B$4,"未映射")</x:f>
        <x:v>线下零售</x:v>
      </x:c>
      <x:c r="Z17" s="10" t="str">
        <x:f>XLOOKUP(H17,'区域维表'!$A$2:$A$5,'区域维表'!$B$2:$B$5,"未映射")</x:f>
        <x:v>华南</x:v>
      </x:c>
      <x:c r="AA17" s="10" t="n">
        <x:f>XLOOKUP(B17,'日期维表'!$A$2:$A$43,'日期维表'!$F$2:$F$43,0)</x:f>
        <x:v>5</x:v>
      </x:c>
    </x:row>
    <x:row r="18" ht="15" hidden="0" customHeight="1">
      <x:c r="A18" s="10" t="str">
        <x:v>SO00017</x:v>
      </x:c>
      <x:c r="B18" s="10" t="n">
        <x:v>202303</x:v>
      </x:c>
      <x:c r="C18" s="10" t="n">
        <x:v>44992</x:v>
      </x:c>
      <x:c r="D18" s="10" t="n">
        <x:v>45000</x:v>
      </x:c>
      <x:c r="E18" s="10" t="n">
        <x:v>45000</x:v>
      </x:c>
      <x:c r="F18" s="10" t="n">
        <x:v>101</x:v>
      </x:c>
      <x:c r="G18" s="10" t="n">
        <x:v>2</x:v>
      </x:c>
      <x:c r="H18" s="10" t="n">
        <x:v>3</x:v>
      </x:c>
      <x:c r="I18" s="10" t="n">
        <x:v>39</x:v>
      </x:c>
      <x:c r="J18" s="10" t="n">
        <x:v>39</x:v>
      </x:c>
      <x:c r="K18" s="64" t="n">
        <x:v>2909.59</x:v>
      </x:c>
      <x:c r="L18" s="64" t="n">
        <x:v>116983.51</x:v>
      </x:c>
      <x:c r="M18" s="64" t="n">
        <x:v>3509.51</x:v>
      </x:c>
      <x:c r="N18" s="64" t="n">
        <x:v>113474</x:v>
      </x:c>
      <x:c r="O18" s="64" t="n">
        <x:v>1865.41</x:v>
      </x:c>
      <x:c r="P18" s="64" t="n">
        <x:v>72750.85</x:v>
      </x:c>
      <x:c r="Q18" s="64" t="n">
        <x:v>40723.15</x:v>
      </x:c>
      <x:c r="R18" s="10" t="n">
        <x:v>8</x:v>
      </x:c>
      <x:c r="S18" s="10" t="n">
        <x:v>1</x:v>
      </x:c>
      <x:c r="T18" s="10" t="n">
        <x:v>1</x:v>
      </x:c>
      <x:c r="U18" s="10" t="str">
        <x:v>Completed</x:v>
      </x:c>
      <x:c r="V18" s="10" t="n">
        <x:v>15</x:v>
      </x:c>
      <x:c r="W18" s="10" t="str">
        <x:f>XLOOKUP(F18,'产品维表'!$A$2:$A$5,'产品维表'!$D$2:$D$5,"未映射")</x:f>
        <x:v>L</x:v>
      </x:c>
      <x:c r="X18" s="10" t="str">
        <x:f>XLOOKUP(F18,'产品维表'!$A$2:$A$5,'产品维表'!$B$2:$B$5,"未映射")</x:f>
        <x:v>L1</x:v>
      </x:c>
      <x:c r="Y18" s="10" t="str">
        <x:f>XLOOKUP(G18,'渠道维表'!$A$2:$A$4,'渠道维表'!$B$2:$B$4,"未映射")</x:f>
        <x:v>线下零售</x:v>
      </x:c>
      <x:c r="Z18" s="10" t="str">
        <x:f>XLOOKUP(H18,'区域维表'!$A$2:$A$5,'区域维表'!$B$2:$B$5,"未映射")</x:f>
        <x:v>华北</x:v>
      </x:c>
      <x:c r="AA18" s="10" t="n">
        <x:f>XLOOKUP(B18,'日期维表'!$A$2:$A$43,'日期维表'!$F$2:$F$43,0)</x:f>
        <x:v>5</x:v>
      </x:c>
    </x:row>
    <x:row r="19" ht="15" hidden="0" customHeight="1">
      <x:c r="A19" s="10" t="str">
        <x:v>SO00018</x:v>
      </x:c>
      <x:c r="B19" s="10" t="n">
        <x:v>202303</x:v>
      </x:c>
      <x:c r="C19" s="10" t="n">
        <x:v>44992</x:v>
      </x:c>
      <x:c r="D19" s="10" t="n">
        <x:v>44998</x:v>
      </x:c>
      <x:c r="E19" s="10" t="n">
        <x:v>44998</x:v>
      </x:c>
      <x:c r="F19" s="10" t="n">
        <x:v>101</x:v>
      </x:c>
      <x:c r="G19" s="10" t="n">
        <x:v>3</x:v>
      </x:c>
      <x:c r="H19" s="10" t="n">
        <x:v>2</x:v>
      </x:c>
      <x:c r="I19" s="10" t="n">
        <x:v>24</x:v>
      </x:c>
      <x:c r="J19" s="10" t="n">
        <x:v>24</x:v>
      </x:c>
      <x:c r="K19" s="64" t="n">
        <x:v>2767.58</x:v>
      </x:c>
      <x:c r="L19" s="64" t="n">
        <x:v>72991.21</x:v>
      </x:c>
      <x:c r="M19" s="64" t="n">
        <x:v>6569.21</x:v>
      </x:c>
      <x:c r="N19" s="64" t="n">
        <x:v>66422</x:v>
      </x:c>
      <x:c r="O19" s="64" t="n">
        <x:v>1793.93</x:v>
      </x:c>
      <x:c r="P19" s="64" t="n">
        <x:v>43054.33</x:v>
      </x:c>
      <x:c r="Q19" s="64" t="n">
        <x:v>23367.67</x:v>
      </x:c>
      <x:c r="R19" s="10" t="n">
        <x:v>6</x:v>
      </x:c>
      <x:c r="S19" s="10" t="n">
        <x:v>1</x:v>
      </x:c>
      <x:c r="T19" s="10" t="n">
        <x:v>1</x:v>
      </x:c>
      <x:c r="U19" s="10" t="str">
        <x:v>Completed</x:v>
      </x:c>
      <x:c r="V19" s="10" t="n">
        <x:v>30</x:v>
      </x:c>
      <x:c r="W19" s="10" t="str">
        <x:f>XLOOKUP(F19,'产品维表'!$A$2:$A$5,'产品维表'!$D$2:$D$5,"未映射")</x:f>
        <x:v>L</x:v>
      </x:c>
      <x:c r="X19" s="10" t="str">
        <x:f>XLOOKUP(F19,'产品维表'!$A$2:$A$5,'产品维表'!$B$2:$B$5,"未映射")</x:f>
        <x:v>L1</x:v>
      </x:c>
      <x:c r="Y19" s="10" t="str">
        <x:f>XLOOKUP(G19,'渠道维表'!$A$2:$A$4,'渠道维表'!$B$2:$B$4,"未映射")</x:f>
        <x:v>区域经销</x:v>
      </x:c>
      <x:c r="Z19" s="10" t="str">
        <x:f>XLOOKUP(H19,'区域维表'!$A$2:$A$5,'区域维表'!$B$2:$B$5,"未映射")</x:f>
        <x:v>华南</x:v>
      </x:c>
      <x:c r="AA19" s="10" t="n">
        <x:f>XLOOKUP(B19,'日期维表'!$A$2:$A$43,'日期维表'!$F$2:$F$43,0)</x:f>
        <x:v>5</x:v>
      </x:c>
    </x:row>
    <x:row r="20" ht="15" hidden="0" customHeight="1">
      <x:c r="A20" s="10" t="str">
        <x:v>SO00019</x:v>
      </x:c>
      <x:c r="B20" s="10" t="n">
        <x:v>202303</x:v>
      </x:c>
      <x:c r="C20" s="10" t="n">
        <x:v>45007</x:v>
      </x:c>
      <x:c r="D20" s="10" t="n">
        <x:v>45018</x:v>
      </x:c>
      <x:c r="E20" s="10" t="n">
        <x:v>45018</x:v>
      </x:c>
      <x:c r="F20" s="10" t="n">
        <x:v>102</x:v>
      </x:c>
      <x:c r="G20" s="10" t="n">
        <x:v>3</x:v>
      </x:c>
      <x:c r="H20" s="10" t="n">
        <x:v>2</x:v>
      </x:c>
      <x:c r="I20" s="10" t="n">
        <x:v>19</x:v>
      </x:c>
      <x:c r="J20" s="10" t="n">
        <x:v>19</x:v>
      </x:c>
      <x:c r="K20" s="64" t="n">
        <x:v>2557.21</x:v>
      </x:c>
      <x:c r="L20" s="64" t="n">
        <x:v>53392.31</x:v>
      </x:c>
      <x:c r="M20" s="64" t="n">
        <x:v>4805.31</x:v>
      </x:c>
      <x:c r="N20" s="64" t="n">
        <x:v>48587</x:v>
      </x:c>
      <x:c r="O20" s="64" t="n">
        <x:v>1748.26</x:v>
      </x:c>
      <x:c r="P20" s="64" t="n">
        <x:v>33216.98</x:v>
      </x:c>
      <x:c r="Q20" s="64" t="n">
        <x:v>15370.02</x:v>
      </x:c>
      <x:c r="R20" s="10" t="n">
        <x:v>11</x:v>
      </x:c>
      <x:c r="S20" s="10" t="n">
        <x:v>1</x:v>
      </x:c>
      <x:c r="T20" s="10" t="n">
        <x:v>1</x:v>
      </x:c>
      <x:c r="U20" s="10" t="str">
        <x:v>Completed</x:v>
      </x:c>
      <x:c r="V20" s="10" t="n">
        <x:v>30</x:v>
      </x:c>
      <x:c r="W20" s="10" t="str">
        <x:f>XLOOKUP(F20,'产品维表'!$A$2:$A$5,'产品维表'!$D$2:$D$5,"未映射")</x:f>
        <x:v>L</x:v>
      </x:c>
      <x:c r="X20" s="10" t="str">
        <x:f>XLOOKUP(F20,'产品维表'!$A$2:$A$5,'产品维表'!$B$2:$B$5,"未映射")</x:f>
        <x:v>L2</x:v>
      </x:c>
      <x:c r="Y20" s="10" t="str">
        <x:f>XLOOKUP(G20,'渠道维表'!$A$2:$A$4,'渠道维表'!$B$2:$B$4,"未映射")</x:f>
        <x:v>区域经销</x:v>
      </x:c>
      <x:c r="Z20" s="10" t="str">
        <x:f>XLOOKUP(H20,'区域维表'!$A$2:$A$5,'区域维表'!$B$2:$B$5,"未映射")</x:f>
        <x:v>华南</x:v>
      </x:c>
      <x:c r="AA20" s="10" t="n">
        <x:f>XLOOKUP(B20,'日期维表'!$A$2:$A$43,'日期维表'!$F$2:$F$43,0)</x:f>
        <x:v>5</x:v>
      </x:c>
    </x:row>
    <x:row r="21" ht="15" hidden="0" customHeight="1">
      <x:c r="A21" s="10" t="str">
        <x:v>SO00020</x:v>
      </x:c>
      <x:c r="B21" s="10" t="n">
        <x:v>202303</x:v>
      </x:c>
      <x:c r="C21" s="10" t="n">
        <x:v>44994</x:v>
      </x:c>
      <x:c r="D21" s="10" t="n">
        <x:v>45002</x:v>
      </x:c>
      <x:c r="E21" s="10" t="n">
        <x:v>45002</x:v>
      </x:c>
      <x:c r="F21" s="10" t="n">
        <x:v>102</x:v>
      </x:c>
      <x:c r="G21" s="10" t="n">
        <x:v>2</x:v>
      </x:c>
      <x:c r="H21" s="10" t="n">
        <x:v>3</x:v>
      </x:c>
      <x:c r="I21" s="10" t="n">
        <x:v>21</x:v>
      </x:c>
      <x:c r="J21" s="10" t="n">
        <x:v>21</x:v>
      </x:c>
      <x:c r="K21" s="64" t="n">
        <x:v>2631.67</x:v>
      </x:c>
      <x:c r="L21" s="64" t="n">
        <x:v>56974.23</x:v>
      </x:c>
      <x:c r="M21" s="64" t="n">
        <x:v>1709.23</x:v>
      </x:c>
      <x:c r="N21" s="64" t="n">
        <x:v>55265</x:v>
      </x:c>
      <x:c r="O21" s="64" t="n">
        <x:v>2218.84</x:v>
      </x:c>
      <x:c r="P21" s="64" t="n">
        <x:v>46595.61</x:v>
      </x:c>
      <x:c r="Q21" s="64" t="n">
        <x:v>8669.39</x:v>
      </x:c>
      <x:c r="R21" s="10" t="n">
        <x:v>8</x:v>
      </x:c>
      <x:c r="S21" s="10" t="n">
        <x:v>1</x:v>
      </x:c>
      <x:c r="T21" s="10" t="n">
        <x:v>1</x:v>
      </x:c>
      <x:c r="U21" s="10" t="str">
        <x:v>Completed</x:v>
      </x:c>
      <x:c r="V21" s="10" t="n">
        <x:v>15</x:v>
      </x:c>
      <x:c r="W21" s="10" t="str">
        <x:f>XLOOKUP(F21,'产品维表'!$A$2:$A$5,'产品维表'!$D$2:$D$5,"未映射")</x:f>
        <x:v>L</x:v>
      </x:c>
      <x:c r="X21" s="10" t="str">
        <x:f>XLOOKUP(F21,'产品维表'!$A$2:$A$5,'产品维表'!$B$2:$B$5,"未映射")</x:f>
        <x:v>L2</x:v>
      </x:c>
      <x:c r="Y21" s="10" t="str">
        <x:f>XLOOKUP(G21,'渠道维表'!$A$2:$A$4,'渠道维表'!$B$2:$B$4,"未映射")</x:f>
        <x:v>线下零售</x:v>
      </x:c>
      <x:c r="Z21" s="10" t="str">
        <x:f>XLOOKUP(H21,'区域维表'!$A$2:$A$5,'区域维表'!$B$2:$B$5,"未映射")</x:f>
        <x:v>华北</x:v>
      </x:c>
      <x:c r="AA21" s="10" t="n">
        <x:f>XLOOKUP(B21,'日期维表'!$A$2:$A$43,'日期维表'!$F$2:$F$43,0)</x:f>
        <x:v>5</x:v>
      </x:c>
    </x:row>
    <x:row r="22" ht="15" hidden="0" customHeight="1">
      <x:c r="A22" s="10" t="str">
        <x:v>SO00021</x:v>
      </x:c>
      <x:c r="B22" s="10" t="n">
        <x:v>202303</x:v>
      </x:c>
      <x:c r="C22" s="10" t="n">
        <x:v>45007</x:v>
      </x:c>
      <x:c r="D22" s="10" t="n">
        <x:v>45016</x:v>
      </x:c>
      <x:c r="E22" s="10" t="n">
        <x:v>45016</x:v>
      </x:c>
      <x:c r="F22" s="10" t="n">
        <x:v>101</x:v>
      </x:c>
      <x:c r="G22" s="10" t="n">
        <x:v>3</x:v>
      </x:c>
      <x:c r="H22" s="10" t="n">
        <x:v>1</x:v>
      </x:c>
      <x:c r="I22" s="10" t="n">
        <x:v>37</x:v>
      </x:c>
      <x:c r="J22" s="10" t="n">
        <x:v>37</x:v>
      </x:c>
      <x:c r="K22" s="64" t="n">
        <x:v>2816.84</x:v>
      </x:c>
      <x:c r="L22" s="64" t="n">
        <x:v>114530.77</x:v>
      </x:c>
      <x:c r="M22" s="64" t="n">
        <x:v>10307.77</x:v>
      </x:c>
      <x:c r="N22" s="64" t="n">
        <x:v>104223</x:v>
      </x:c>
      <x:c r="O22" s="64" t="n">
        <x:v>1842.2</x:v>
      </x:c>
      <x:c r="P22" s="64" t="n">
        <x:v>68161.31</x:v>
      </x:c>
      <x:c r="Q22" s="64" t="n">
        <x:v>36061.69</x:v>
      </x:c>
      <x:c r="R22" s="10" t="n">
        <x:v>9</x:v>
      </x:c>
      <x:c r="S22" s="10" t="n">
        <x:v>1</x:v>
      </x:c>
      <x:c r="T22" s="10" t="n">
        <x:v>1</x:v>
      </x:c>
      <x:c r="U22" s="10" t="str">
        <x:v>Completed</x:v>
      </x:c>
      <x:c r="V22" s="10" t="n">
        <x:v>30</x:v>
      </x:c>
      <x:c r="W22" s="10" t="str">
        <x:f>XLOOKUP(F22,'产品维表'!$A$2:$A$5,'产品维表'!$D$2:$D$5,"未映射")</x:f>
        <x:v>L</x:v>
      </x:c>
      <x:c r="X22" s="10" t="str">
        <x:f>XLOOKUP(F22,'产品维表'!$A$2:$A$5,'产品维表'!$B$2:$B$5,"未映射")</x:f>
        <x:v>L1</x:v>
      </x:c>
      <x:c r="Y22" s="10" t="str">
        <x:f>XLOOKUP(G22,'渠道维表'!$A$2:$A$4,'渠道维表'!$B$2:$B$4,"未映射")</x:f>
        <x:v>区域经销</x:v>
      </x:c>
      <x:c r="Z22" s="10" t="str">
        <x:f>XLOOKUP(H22,'区域维表'!$A$2:$A$5,'区域维表'!$B$2:$B$5,"未映射")</x:f>
        <x:v>华东</x:v>
      </x:c>
      <x:c r="AA22" s="10" t="n">
        <x:f>XLOOKUP(B22,'日期维表'!$A$2:$A$43,'日期维表'!$F$2:$F$43,0)</x:f>
        <x:v>5</x:v>
      </x:c>
    </x:row>
    <x:row r="23" ht="15" hidden="0" customHeight="1">
      <x:c r="A23" s="10" t="str">
        <x:v>SO00022</x:v>
      </x:c>
      <x:c r="B23" s="10" t="n">
        <x:v>202303</x:v>
      </x:c>
      <x:c r="C23" s="10" t="n">
        <x:v>45002</x:v>
      </x:c>
      <x:c r="D23" s="10" t="n">
        <x:v>45013</x:v>
      </x:c>
      <x:c r="E23" s="10" t="n">
        <x:v>45013</x:v>
      </x:c>
      <x:c r="F23" s="10" t="n">
        <x:v>101</x:v>
      </x:c>
      <x:c r="G23" s="10" t="n">
        <x:v>2</x:v>
      </x:c>
      <x:c r="H23" s="10" t="n">
        <x:v>3</x:v>
      </x:c>
      <x:c r="I23" s="10" t="n">
        <x:v>40</x:v>
      </x:c>
      <x:c r="J23" s="10" t="n">
        <x:v>40</x:v>
      </x:c>
      <x:c r="K23" s="64" t="n">
        <x:v>2716.78</x:v>
      </x:c>
      <x:c r="L23" s="64" t="n">
        <x:v>112031.96</x:v>
      </x:c>
      <x:c r="M23" s="64" t="n">
        <x:v>3360.96</x:v>
      </x:c>
      <x:c r="N23" s="64" t="n">
        <x:v>108671</x:v>
      </x:c>
      <x:c r="O23" s="64" t="n">
        <x:v>1830.97</x:v>
      </x:c>
      <x:c r="P23" s="64" t="n">
        <x:v>73238.97</x:v>
      </x:c>
      <x:c r="Q23" s="64" t="n">
        <x:v>35432.03</x:v>
      </x:c>
      <x:c r="R23" s="10" t="n">
        <x:v>11</x:v>
      </x:c>
      <x:c r="S23" s="10" t="n">
        <x:v>1</x:v>
      </x:c>
      <x:c r="T23" s="10" t="n">
        <x:v>1</x:v>
      </x:c>
      <x:c r="U23" s="10" t="str">
        <x:v>Completed</x:v>
      </x:c>
      <x:c r="V23" s="10" t="n">
        <x:v>15</x:v>
      </x:c>
      <x:c r="W23" s="10" t="str">
        <x:f>XLOOKUP(F23,'产品维表'!$A$2:$A$5,'产品维表'!$D$2:$D$5,"未映射")</x:f>
        <x:v>L</x:v>
      </x:c>
      <x:c r="X23" s="10" t="str">
        <x:f>XLOOKUP(F23,'产品维表'!$A$2:$A$5,'产品维表'!$B$2:$B$5,"未映射")</x:f>
        <x:v>L1</x:v>
      </x:c>
      <x:c r="Y23" s="10" t="str">
        <x:f>XLOOKUP(G23,'渠道维表'!$A$2:$A$4,'渠道维表'!$B$2:$B$4,"未映射")</x:f>
        <x:v>线下零售</x:v>
      </x:c>
      <x:c r="Z23" s="10" t="str">
        <x:f>XLOOKUP(H23,'区域维表'!$A$2:$A$5,'区域维表'!$B$2:$B$5,"未映射")</x:f>
        <x:v>华北</x:v>
      </x:c>
      <x:c r="AA23" s="10" t="n">
        <x:f>XLOOKUP(B23,'日期维表'!$A$2:$A$43,'日期维表'!$F$2:$F$43,0)</x:f>
        <x:v>5</x:v>
      </x:c>
    </x:row>
    <x:row r="24" ht="15" hidden="0" customHeight="1">
      <x:c r="A24" s="10" t="str">
        <x:v>SO00023</x:v>
      </x:c>
      <x:c r="B24" s="10" t="n">
        <x:v>202303</x:v>
      </x:c>
      <x:c r="C24" s="10" t="n">
        <x:v>44996</x:v>
      </x:c>
      <x:c r="D24" s="10" t="n">
        <x:v>45006</x:v>
      </x:c>
      <x:c r="E24" s="10" t="n">
        <x:v>45006</x:v>
      </x:c>
      <x:c r="F24" s="10" t="n">
        <x:v>102</x:v>
      </x:c>
      <x:c r="G24" s="10" t="n">
        <x:v>1</x:v>
      </x:c>
      <x:c r="H24" s="10" t="n">
        <x:v>1</x:v>
      </x:c>
      <x:c r="I24" s="10" t="n">
        <x:v>32</x:v>
      </x:c>
      <x:c r="J24" s="10" t="n">
        <x:v>32</x:v>
      </x:c>
      <x:c r="K24" s="64" t="n">
        <x:v>2826.53</x:v>
      </x:c>
      <x:c r="L24" s="64" t="n">
        <x:v>90449</x:v>
      </x:c>
      <x:c r="M24" s="64" t="n">
        <x:v>0</x:v>
      </x:c>
      <x:c r="N24" s="64" t="n">
        <x:v>90449</x:v>
      </x:c>
      <x:c r="O24" s="64" t="n">
        <x:v>2202.57</x:v>
      </x:c>
      <x:c r="P24" s="64" t="n">
        <x:v>70482.34</x:v>
      </x:c>
      <x:c r="Q24" s="64" t="n">
        <x:v>19966.66</x:v>
      </x:c>
      <x:c r="R24" s="10" t="n">
        <x:v>10</x:v>
      </x:c>
      <x:c r="S24" s="10" t="n">
        <x:v>1</x:v>
      </x:c>
      <x:c r="T24" s="10" t="n">
        <x:v>1</x:v>
      </x:c>
      <x:c r="U24" s="10" t="str">
        <x:v>Completed</x:v>
      </x:c>
      <x:c r="V24" s="10" t="n">
        <x:v>0</x:v>
      </x:c>
      <x:c r="W24" s="10" t="str">
        <x:f>XLOOKUP(F24,'产品维表'!$A$2:$A$5,'产品维表'!$D$2:$D$5,"未映射")</x:f>
        <x:v>L</x:v>
      </x:c>
      <x:c r="X24" s="10" t="str">
        <x:f>XLOOKUP(F24,'产品维表'!$A$2:$A$5,'产品维表'!$B$2:$B$5,"未映射")</x:f>
        <x:v>L2</x:v>
      </x:c>
      <x:c r="Y24" s="10" t="str">
        <x:f>XLOOKUP(G24,'渠道维表'!$A$2:$A$4,'渠道维表'!$B$2:$B$4,"未映射")</x:f>
        <x:v>线上直营</x:v>
      </x:c>
      <x:c r="Z24" s="10" t="str">
        <x:f>XLOOKUP(H24,'区域维表'!$A$2:$A$5,'区域维表'!$B$2:$B$5,"未映射")</x:f>
        <x:v>华东</x:v>
      </x:c>
      <x:c r="AA24" s="10" t="n">
        <x:f>XLOOKUP(B24,'日期维表'!$A$2:$A$43,'日期维表'!$F$2:$F$43,0)</x:f>
        <x:v>5</x:v>
      </x:c>
    </x:row>
    <x:row r="25" ht="15" hidden="0" customHeight="1">
      <x:c r="A25" s="10" t="str">
        <x:v>SO00024</x:v>
      </x:c>
      <x:c r="B25" s="10" t="n">
        <x:v>202303</x:v>
      </x:c>
      <x:c r="C25" s="10" t="n">
        <x:v>45006</x:v>
      </x:c>
      <x:c r="D25" s="10" t="n">
        <x:v>45012</x:v>
      </x:c>
      <x:c r="E25" s="10" t="n">
        <x:v>45012</x:v>
      </x:c>
      <x:c r="F25" s="10" t="n">
        <x:v>101</x:v>
      </x:c>
      <x:c r="G25" s="10" t="n">
        <x:v>1</x:v>
      </x:c>
      <x:c r="H25" s="10" t="n">
        <x:v>4</x:v>
      </x:c>
      <x:c r="I25" s="10" t="n">
        <x:v>22</x:v>
      </x:c>
      <x:c r="J25" s="10" t="n">
        <x:v>22</x:v>
      </x:c>
      <x:c r="K25" s="64" t="n">
        <x:v>2550.23</x:v>
      </x:c>
      <x:c r="L25" s="64" t="n">
        <x:v>56105</x:v>
      </x:c>
      <x:c r="M25" s="64" t="n">
        <x:v>0</x:v>
      </x:c>
      <x:c r="N25" s="64" t="n">
        <x:v>56105</x:v>
      </x:c>
      <x:c r="O25" s="64" t="n">
        <x:v>1806.49</x:v>
      </x:c>
      <x:c r="P25" s="64" t="n">
        <x:v>39742.67</x:v>
      </x:c>
      <x:c r="Q25" s="64" t="n">
        <x:v>16362.33</x:v>
      </x:c>
      <x:c r="R25" s="10" t="n">
        <x:v>6</x:v>
      </x:c>
      <x:c r="S25" s="10" t="n">
        <x:v>1</x:v>
      </x:c>
      <x:c r="T25" s="10" t="n">
        <x:v>1</x:v>
      </x:c>
      <x:c r="U25" s="10" t="str">
        <x:v>Completed</x:v>
      </x:c>
      <x:c r="V25" s="10" t="n">
        <x:v>0</x:v>
      </x:c>
      <x:c r="W25" s="10" t="str">
        <x:f>XLOOKUP(F25,'产品维表'!$A$2:$A$5,'产品维表'!$D$2:$D$5,"未映射")</x:f>
        <x:v>L</x:v>
      </x:c>
      <x:c r="X25" s="10" t="str">
        <x:f>XLOOKUP(F25,'产品维表'!$A$2:$A$5,'产品维表'!$B$2:$B$5,"未映射")</x:f>
        <x:v>L1</x:v>
      </x:c>
      <x:c r="Y25" s="10" t="str">
        <x:f>XLOOKUP(G25,'渠道维表'!$A$2:$A$4,'渠道维表'!$B$2:$B$4,"未映射")</x:f>
        <x:v>线上直营</x:v>
      </x:c>
      <x:c r="Z25" s="10" t="str">
        <x:f>XLOOKUP(H25,'区域维表'!$A$2:$A$5,'区域维表'!$B$2:$B$5,"未映射")</x:f>
        <x:v>中西部</x:v>
      </x:c>
      <x:c r="AA25" s="10" t="n">
        <x:f>XLOOKUP(B25,'日期维表'!$A$2:$A$43,'日期维表'!$F$2:$F$43,0)</x:f>
        <x:v>5</x:v>
      </x:c>
    </x:row>
    <x:row r="26" ht="15" hidden="0" customHeight="1">
      <x:c r="A26" s="10" t="str">
        <x:v>SO00025</x:v>
      </x:c>
      <x:c r="B26" s="10" t="n">
        <x:v>202304</x:v>
      </x:c>
      <x:c r="C26" s="10" t="n">
        <x:v>45019</x:v>
      </x:c>
      <x:c r="D26" s="10" t="n">
        <x:v>45027</x:v>
      </x:c>
      <x:c r="E26" s="10" t="n">
        <x:v>45027</x:v>
      </x:c>
      <x:c r="F26" s="10" t="n">
        <x:v>102</x:v>
      </x:c>
      <x:c r="G26" s="10" t="n">
        <x:v>3</x:v>
      </x:c>
      <x:c r="H26" s="10" t="n">
        <x:v>2</x:v>
      </x:c>
      <x:c r="I26" s="10" t="n">
        <x:v>14</x:v>
      </x:c>
      <x:c r="J26" s="10" t="n">
        <x:v>14</x:v>
      </x:c>
      <x:c r="K26" s="64" t="n">
        <x:v>2762.21</x:v>
      </x:c>
      <x:c r="L26" s="64" t="n">
        <x:v>42495.6</x:v>
      </x:c>
      <x:c r="M26" s="64" t="n">
        <x:v>3824.6</x:v>
      </x:c>
      <x:c r="N26" s="64" t="n">
        <x:v>38671</x:v>
      </x:c>
      <x:c r="O26" s="64" t="n">
        <x:v>2210.38</x:v>
      </x:c>
      <x:c r="P26" s="64" t="n">
        <x:v>30945.25</x:v>
      </x:c>
      <x:c r="Q26" s="64" t="n">
        <x:v>7725.75</x:v>
      </x:c>
      <x:c r="R26" s="10" t="n">
        <x:v>8</x:v>
      </x:c>
      <x:c r="S26" s="10" t="n">
        <x:v>1</x:v>
      </x:c>
      <x:c r="T26" s="10" t="n">
        <x:v>1</x:v>
      </x:c>
      <x:c r="U26" s="10" t="str">
        <x:v>Completed</x:v>
      </x:c>
      <x:c r="V26" s="10" t="n">
        <x:v>30</x:v>
      </x:c>
      <x:c r="W26" s="10" t="str">
        <x:f>XLOOKUP(F26,'产品维表'!$A$2:$A$5,'产品维表'!$D$2:$D$5,"未映射")</x:f>
        <x:v>L</x:v>
      </x:c>
      <x:c r="X26" s="10" t="str">
        <x:f>XLOOKUP(F26,'产品维表'!$A$2:$A$5,'产品维表'!$B$2:$B$5,"未映射")</x:f>
        <x:v>L2</x:v>
      </x:c>
      <x:c r="Y26" s="10" t="str">
        <x:f>XLOOKUP(G26,'渠道维表'!$A$2:$A$4,'渠道维表'!$B$2:$B$4,"未映射")</x:f>
        <x:v>区域经销</x:v>
      </x:c>
      <x:c r="Z26" s="10" t="str">
        <x:f>XLOOKUP(H26,'区域维表'!$A$2:$A$5,'区域维表'!$B$2:$B$5,"未映射")</x:f>
        <x:v>华南</x:v>
      </x:c>
      <x:c r="AA26" s="10" t="n">
        <x:f>XLOOKUP(B26,'日期维表'!$A$2:$A$43,'日期维表'!$F$2:$F$43,0)</x:f>
        <x:v>6</x:v>
      </x:c>
    </x:row>
    <x:row r="27" ht="15" hidden="0" customHeight="1">
      <x:c r="A27" s="10" t="str">
        <x:v>SO00026</x:v>
      </x:c>
      <x:c r="B27" s="10" t="n">
        <x:v>202304</x:v>
      </x:c>
      <x:c r="C27" s="10" t="n">
        <x:v>45023</x:v>
      </x:c>
      <x:c r="D27" s="10" t="n">
        <x:v>45031</x:v>
      </x:c>
      <x:c r="E27" s="10" t="n">
        <x:v>45031</x:v>
      </x:c>
      <x:c r="F27" s="10" t="n">
        <x:v>102</x:v>
      </x:c>
      <x:c r="G27" s="10" t="n">
        <x:v>1</x:v>
      </x:c>
      <x:c r="H27" s="10" t="n">
        <x:v>4</x:v>
      </x:c>
      <x:c r="I27" s="10" t="n">
        <x:v>12</x:v>
      </x:c>
      <x:c r="J27" s="10" t="n">
        <x:v>12</x:v>
      </x:c>
      <x:c r="K27" s="64" t="n">
        <x:v>2707.33</x:v>
      </x:c>
      <x:c r="L27" s="64" t="n">
        <x:v>32488</x:v>
      </x:c>
      <x:c r="M27" s="64" t="n">
        <x:v>0</x:v>
      </x:c>
      <x:c r="N27" s="64" t="n">
        <x:v>32488</x:v>
      </x:c>
      <x:c r="O27" s="64" t="n">
        <x:v>2269.39</x:v>
      </x:c>
      <x:c r="P27" s="64" t="n">
        <x:v>27232.66</x:v>
      </x:c>
      <x:c r="Q27" s="64" t="n">
        <x:v>5255.34</x:v>
      </x:c>
      <x:c r="R27" s="10" t="n">
        <x:v>8</x:v>
      </x:c>
      <x:c r="S27" s="10" t="n">
        <x:v>1</x:v>
      </x:c>
      <x:c r="T27" s="10" t="n">
        <x:v>1</x:v>
      </x:c>
      <x:c r="U27" s="10" t="str">
        <x:v>Completed</x:v>
      </x:c>
      <x:c r="V27" s="10" t="n">
        <x:v>0</x:v>
      </x:c>
      <x:c r="W27" s="10" t="str">
        <x:f>XLOOKUP(F27,'产品维表'!$A$2:$A$5,'产品维表'!$D$2:$D$5,"未映射")</x:f>
        <x:v>L</x:v>
      </x:c>
      <x:c r="X27" s="10" t="str">
        <x:f>XLOOKUP(F27,'产品维表'!$A$2:$A$5,'产品维表'!$B$2:$B$5,"未映射")</x:f>
        <x:v>L2</x:v>
      </x:c>
      <x:c r="Y27" s="10" t="str">
        <x:f>XLOOKUP(G27,'渠道维表'!$A$2:$A$4,'渠道维表'!$B$2:$B$4,"未映射")</x:f>
        <x:v>线上直营</x:v>
      </x:c>
      <x:c r="Z27" s="10" t="str">
        <x:f>XLOOKUP(H27,'区域维表'!$A$2:$A$5,'区域维表'!$B$2:$B$5,"未映射")</x:f>
        <x:v>中西部</x:v>
      </x:c>
      <x:c r="AA27" s="10" t="n">
        <x:f>XLOOKUP(B27,'日期维表'!$A$2:$A$43,'日期维表'!$F$2:$F$43,0)</x:f>
        <x:v>6</x:v>
      </x:c>
    </x:row>
    <x:row r="28" ht="15" hidden="0" customHeight="1">
      <x:c r="A28" s="10" t="str">
        <x:v>SO00027</x:v>
      </x:c>
      <x:c r="B28" s="10" t="n">
        <x:v>202304</x:v>
      </x:c>
      <x:c r="C28" s="10" t="n">
        <x:v>45020</x:v>
      </x:c>
      <x:c r="D28" s="10" t="n">
        <x:v>45032</x:v>
      </x:c>
      <x:c r="E28" s="10" t="n">
        <x:v>45034</x:v>
      </x:c>
      <x:c r="F28" s="10" t="n">
        <x:v>101</x:v>
      </x:c>
      <x:c r="G28" s="10" t="n">
        <x:v>2</x:v>
      </x:c>
      <x:c r="H28" s="10" t="n">
        <x:v>4</x:v>
      </x:c>
      <x:c r="I28" s="10" t="n">
        <x:v>24</x:v>
      </x:c>
      <x:c r="J28" s="10" t="n">
        <x:v>24</x:v>
      </x:c>
      <x:c r="K28" s="64" t="n">
        <x:v>2789.54</x:v>
      </x:c>
      <x:c r="L28" s="64" t="n">
        <x:v>69019.59</x:v>
      </x:c>
      <x:c r="M28" s="64" t="n">
        <x:v>2070.59</x:v>
      </x:c>
      <x:c r="N28" s="64" t="n">
        <x:v>66949</x:v>
      </x:c>
      <x:c r="O28" s="64" t="n">
        <x:v>1868.96</x:v>
      </x:c>
      <x:c r="P28" s="64" t="n">
        <x:v>44855.1</x:v>
      </x:c>
      <x:c r="Q28" s="64" t="n">
        <x:v>22093.9</x:v>
      </x:c>
      <x:c r="R28" s="10" t="n">
        <x:v>14</x:v>
      </x:c>
      <x:c r="S28" s="10" t="n">
        <x:v>0</x:v>
      </x:c>
      <x:c r="T28" s="10" t="n">
        <x:v>1</x:v>
      </x:c>
      <x:c r="U28" s="10" t="str">
        <x:v>Completed</x:v>
      </x:c>
      <x:c r="V28" s="10" t="n">
        <x:v>15</x:v>
      </x:c>
      <x:c r="W28" s="10" t="str">
        <x:f>XLOOKUP(F28,'产品维表'!$A$2:$A$5,'产品维表'!$D$2:$D$5,"未映射")</x:f>
        <x:v>L</x:v>
      </x:c>
      <x:c r="X28" s="10" t="str">
        <x:f>XLOOKUP(F28,'产品维表'!$A$2:$A$5,'产品维表'!$B$2:$B$5,"未映射")</x:f>
        <x:v>L1</x:v>
      </x:c>
      <x:c r="Y28" s="10" t="str">
        <x:f>XLOOKUP(G28,'渠道维表'!$A$2:$A$4,'渠道维表'!$B$2:$B$4,"未映射")</x:f>
        <x:v>线下零售</x:v>
      </x:c>
      <x:c r="Z28" s="10" t="str">
        <x:f>XLOOKUP(H28,'区域维表'!$A$2:$A$5,'区域维表'!$B$2:$B$5,"未映射")</x:f>
        <x:v>中西部</x:v>
      </x:c>
      <x:c r="AA28" s="10" t="n">
        <x:f>XLOOKUP(B28,'日期维表'!$A$2:$A$43,'日期维表'!$F$2:$F$43,0)</x:f>
        <x:v>6</x:v>
      </x:c>
    </x:row>
    <x:row r="29" ht="15" hidden="0" customHeight="1">
      <x:c r="A29" s="10" t="str">
        <x:v>SO00028</x:v>
      </x:c>
      <x:c r="B29" s="10" t="n">
        <x:v>202304</x:v>
      </x:c>
      <x:c r="C29" s="10" t="n">
        <x:v>45034</x:v>
      </x:c>
      <x:c r="D29" s="10" t="n">
        <x:v>45045</x:v>
      </x:c>
      <x:c r="E29" s="10" t="n">
        <x:v>45045</x:v>
      </x:c>
      <x:c r="F29" s="10" t="n">
        <x:v>101</x:v>
      </x:c>
      <x:c r="G29" s="10" t="n">
        <x:v>1</x:v>
      </x:c>
      <x:c r="H29" s="10" t="n">
        <x:v>3</x:v>
      </x:c>
      <x:c r="I29" s="10" t="n">
        <x:v>19</x:v>
      </x:c>
      <x:c r="J29" s="10" t="n">
        <x:v>19</x:v>
      </x:c>
      <x:c r="K29" s="64" t="n">
        <x:v>2787.79</x:v>
      </x:c>
      <x:c r="L29" s="64" t="n">
        <x:v>52968</x:v>
      </x:c>
      <x:c r="M29" s="64" t="n">
        <x:v>0</x:v>
      </x:c>
      <x:c r="N29" s="64" t="n">
        <x:v>52968</x:v>
      </x:c>
      <x:c r="O29" s="64" t="n">
        <x:v>1819</x:v>
      </x:c>
      <x:c r="P29" s="64" t="n">
        <x:v>34561.05</x:v>
      </x:c>
      <x:c r="Q29" s="64" t="n">
        <x:v>18406.95</x:v>
      </x:c>
      <x:c r="R29" s="10" t="n">
        <x:v>11</x:v>
      </x:c>
      <x:c r="S29" s="10" t="n">
        <x:v>1</x:v>
      </x:c>
      <x:c r="T29" s="10" t="n">
        <x:v>1</x:v>
      </x:c>
      <x:c r="U29" s="10" t="str">
        <x:v>Completed</x:v>
      </x:c>
      <x:c r="V29" s="10" t="n">
        <x:v>0</x:v>
      </x:c>
      <x:c r="W29" s="10" t="str">
        <x:f>XLOOKUP(F29,'产品维表'!$A$2:$A$5,'产品维表'!$D$2:$D$5,"未映射")</x:f>
        <x:v>L</x:v>
      </x:c>
      <x:c r="X29" s="10" t="str">
        <x:f>XLOOKUP(F29,'产品维表'!$A$2:$A$5,'产品维表'!$B$2:$B$5,"未映射")</x:f>
        <x:v>L1</x:v>
      </x:c>
      <x:c r="Y29" s="10" t="str">
        <x:f>XLOOKUP(G29,'渠道维表'!$A$2:$A$4,'渠道维表'!$B$2:$B$4,"未映射")</x:f>
        <x:v>线上直营</x:v>
      </x:c>
      <x:c r="Z29" s="10" t="str">
        <x:f>XLOOKUP(H29,'区域维表'!$A$2:$A$5,'区域维表'!$B$2:$B$5,"未映射")</x:f>
        <x:v>华北</x:v>
      </x:c>
      <x:c r="AA29" s="10" t="n">
        <x:f>XLOOKUP(B29,'日期维表'!$A$2:$A$43,'日期维表'!$F$2:$F$43,0)</x:f>
        <x:v>6</x:v>
      </x:c>
    </x:row>
    <x:row r="30" ht="15" hidden="0" customHeight="1">
      <x:c r="A30" s="10" t="str">
        <x:v>SO00029</x:v>
      </x:c>
      <x:c r="B30" s="10" t="n">
        <x:v>202304</x:v>
      </x:c>
      <x:c r="C30" s="10" t="n">
        <x:v>45021</x:v>
      </x:c>
      <x:c r="D30" s="10" t="n">
        <x:v>45031</x:v>
      </x:c>
      <x:c r="E30" s="10" t="n">
        <x:v>45031</x:v>
      </x:c>
      <x:c r="F30" s="10" t="n">
        <x:v>102</x:v>
      </x:c>
      <x:c r="G30" s="10" t="n">
        <x:v>1</x:v>
      </x:c>
      <x:c r="H30" s="10" t="n">
        <x:v>1</x:v>
      </x:c>
      <x:c r="I30" s="10" t="n">
        <x:v>14</x:v>
      </x:c>
      <x:c r="J30" s="10" t="n">
        <x:v>14</x:v>
      </x:c>
      <x:c r="K30" s="64" t="n">
        <x:v>2608.14</x:v>
      </x:c>
      <x:c r="L30" s="64" t="n">
        <x:v>36514</x:v>
      </x:c>
      <x:c r="M30" s="64" t="n">
        <x:v>0</x:v>
      </x:c>
      <x:c r="N30" s="64" t="n">
        <x:v>36514</x:v>
      </x:c>
      <x:c r="O30" s="64" t="n">
        <x:v>1909.9</x:v>
      </x:c>
      <x:c r="P30" s="64" t="n">
        <x:v>26738.65</x:v>
      </x:c>
      <x:c r="Q30" s="64" t="n">
        <x:v>9775.35</x:v>
      </x:c>
      <x:c r="R30" s="10" t="n">
        <x:v>10</x:v>
      </x:c>
      <x:c r="S30" s="10" t="n">
        <x:v>1</x:v>
      </x:c>
      <x:c r="T30" s="10" t="n">
        <x:v>1</x:v>
      </x:c>
      <x:c r="U30" s="10" t="str">
        <x:v>Completed</x:v>
      </x:c>
      <x:c r="V30" s="10" t="n">
        <x:v>0</x:v>
      </x:c>
      <x:c r="W30" s="10" t="str">
        <x:f>XLOOKUP(F30,'产品维表'!$A$2:$A$5,'产品维表'!$D$2:$D$5,"未映射")</x:f>
        <x:v>L</x:v>
      </x:c>
      <x:c r="X30" s="10" t="str">
        <x:f>XLOOKUP(F30,'产品维表'!$A$2:$A$5,'产品维表'!$B$2:$B$5,"未映射")</x:f>
        <x:v>L2</x:v>
      </x:c>
      <x:c r="Y30" s="10" t="str">
        <x:f>XLOOKUP(G30,'渠道维表'!$A$2:$A$4,'渠道维表'!$B$2:$B$4,"未映射")</x:f>
        <x:v>线上直营</x:v>
      </x:c>
      <x:c r="Z30" s="10" t="str">
        <x:f>XLOOKUP(H30,'区域维表'!$A$2:$A$5,'区域维表'!$B$2:$B$5,"未映射")</x:f>
        <x:v>华东</x:v>
      </x:c>
      <x:c r="AA30" s="10" t="n">
        <x:f>XLOOKUP(B30,'日期维表'!$A$2:$A$43,'日期维表'!$F$2:$F$43,0)</x:f>
        <x:v>6</x:v>
      </x:c>
    </x:row>
    <x:row r="31" ht="15" hidden="0" customHeight="1">
      <x:c r="A31" s="10" t="str">
        <x:v>SO00030</x:v>
      </x:c>
      <x:c r="B31" s="10" t="n">
        <x:v>202304</x:v>
      </x:c>
      <x:c r="C31" s="10" t="n">
        <x:v>45037</x:v>
      </x:c>
      <x:c r="D31" s="10" t="n">
        <x:v>45044</x:v>
      </x:c>
      <x:c r="E31" s="10" t="n">
        <x:v>45044</x:v>
      </x:c>
      <x:c r="F31" s="10" t="n">
        <x:v>102</x:v>
      </x:c>
      <x:c r="G31" s="10" t="n">
        <x:v>2</x:v>
      </x:c>
      <x:c r="H31" s="10" t="n">
        <x:v>2</x:v>
      </x:c>
      <x:c r="I31" s="10" t="n">
        <x:v>12</x:v>
      </x:c>
      <x:c r="J31" s="10" t="n">
        <x:v>12</x:v>
      </x:c>
      <x:c r="K31" s="64" t="n">
        <x:v>2897.5</x:v>
      </x:c>
      <x:c r="L31" s="64" t="n">
        <x:v>35845.36</x:v>
      </x:c>
      <x:c r="M31" s="64" t="n">
        <x:v>1075.36</x:v>
      </x:c>
      <x:c r="N31" s="64" t="n">
        <x:v>34770</x:v>
      </x:c>
      <x:c r="O31" s="64" t="n">
        <x:v>2246.45</x:v>
      </x:c>
      <x:c r="P31" s="64" t="n">
        <x:v>26957.4</x:v>
      </x:c>
      <x:c r="Q31" s="64" t="n">
        <x:v>7812.6</x:v>
      </x:c>
      <x:c r="R31" s="10" t="n">
        <x:v>7</x:v>
      </x:c>
      <x:c r="S31" s="10" t="n">
        <x:v>1</x:v>
      </x:c>
      <x:c r="T31" s="10" t="n">
        <x:v>1</x:v>
      </x:c>
      <x:c r="U31" s="10" t="str">
        <x:v>Completed</x:v>
      </x:c>
      <x:c r="V31" s="10" t="n">
        <x:v>15</x:v>
      </x:c>
      <x:c r="W31" s="10" t="str">
        <x:f>XLOOKUP(F31,'产品维表'!$A$2:$A$5,'产品维表'!$D$2:$D$5,"未映射")</x:f>
        <x:v>L</x:v>
      </x:c>
      <x:c r="X31" s="10" t="str">
        <x:f>XLOOKUP(F31,'产品维表'!$A$2:$A$5,'产品维表'!$B$2:$B$5,"未映射")</x:f>
        <x:v>L2</x:v>
      </x:c>
      <x:c r="Y31" s="10" t="str">
        <x:f>XLOOKUP(G31,'渠道维表'!$A$2:$A$4,'渠道维表'!$B$2:$B$4,"未映射")</x:f>
        <x:v>线下零售</x:v>
      </x:c>
      <x:c r="Z31" s="10" t="str">
        <x:f>XLOOKUP(H31,'区域维表'!$A$2:$A$5,'区域维表'!$B$2:$B$5,"未映射")</x:f>
        <x:v>华南</x:v>
      </x:c>
      <x:c r="AA31" s="10" t="n">
        <x:f>XLOOKUP(B31,'日期维表'!$A$2:$A$43,'日期维表'!$F$2:$F$43,0)</x:f>
        <x:v>6</x:v>
      </x:c>
    </x:row>
    <x:row r="32" ht="15" hidden="0" customHeight="1">
      <x:c r="A32" s="10" t="str">
        <x:v>SO00031</x:v>
      </x:c>
      <x:c r="B32" s="10" t="n">
        <x:v>202304</x:v>
      </x:c>
      <x:c r="C32" s="10" t="n">
        <x:v>45033</x:v>
      </x:c>
      <x:c r="D32" s="10" t="n">
        <x:v>45040</x:v>
      </x:c>
      <x:c r="E32" s="10" t="n">
        <x:v>45040</x:v>
      </x:c>
      <x:c r="F32" s="10" t="n">
        <x:v>101</x:v>
      </x:c>
      <x:c r="G32" s="10" t="n">
        <x:v>3</x:v>
      </x:c>
      <x:c r="H32" s="10" t="n">
        <x:v>2</x:v>
      </x:c>
      <x:c r="I32" s="10" t="n">
        <x:v>22</x:v>
      </x:c>
      <x:c r="J32" s="10" t="n">
        <x:v>22</x:v>
      </x:c>
      <x:c r="K32" s="64" t="n">
        <x:v>2884.09</x:v>
      </x:c>
      <x:c r="L32" s="64" t="n">
        <x:v>69725.27</x:v>
      </x:c>
      <x:c r="M32" s="64" t="n">
        <x:v>6275.27</x:v>
      </x:c>
      <x:c r="N32" s="64" t="n">
        <x:v>63450</x:v>
      </x:c>
      <x:c r="O32" s="64" t="n">
        <x:v>1794.25</x:v>
      </x:c>
      <x:c r="P32" s="64" t="n">
        <x:v>39473.54</x:v>
      </x:c>
      <x:c r="Q32" s="64" t="n">
        <x:v>23976.46</x:v>
      </x:c>
      <x:c r="R32" s="10" t="n">
        <x:v>7</x:v>
      </x:c>
      <x:c r="S32" s="10" t="n">
        <x:v>1</x:v>
      </x:c>
      <x:c r="T32" s="10" t="n">
        <x:v>1</x:v>
      </x:c>
      <x:c r="U32" s="10" t="str">
        <x:v>Completed</x:v>
      </x:c>
      <x:c r="V32" s="10" t="n">
        <x:v>30</x:v>
      </x:c>
      <x:c r="W32" s="10" t="str">
        <x:f>XLOOKUP(F32,'产品维表'!$A$2:$A$5,'产品维表'!$D$2:$D$5,"未映射")</x:f>
        <x:v>L</x:v>
      </x:c>
      <x:c r="X32" s="10" t="str">
        <x:f>XLOOKUP(F32,'产品维表'!$A$2:$A$5,'产品维表'!$B$2:$B$5,"未映射")</x:f>
        <x:v>L1</x:v>
      </x:c>
      <x:c r="Y32" s="10" t="str">
        <x:f>XLOOKUP(G32,'渠道维表'!$A$2:$A$4,'渠道维表'!$B$2:$B$4,"未映射")</x:f>
        <x:v>区域经销</x:v>
      </x:c>
      <x:c r="Z32" s="10" t="str">
        <x:f>XLOOKUP(H32,'区域维表'!$A$2:$A$5,'区域维表'!$B$2:$B$5,"未映射")</x:f>
        <x:v>华南</x:v>
      </x:c>
      <x:c r="AA32" s="10" t="n">
        <x:f>XLOOKUP(B32,'日期维表'!$A$2:$A$43,'日期维表'!$F$2:$F$43,0)</x:f>
        <x:v>6</x:v>
      </x:c>
    </x:row>
    <x:row r="33" ht="15" hidden="0" customHeight="1">
      <x:c r="A33" s="10" t="str">
        <x:v>SO00032</x:v>
      </x:c>
      <x:c r="B33" s="10" t="n">
        <x:v>202304</x:v>
      </x:c>
      <x:c r="C33" s="10" t="n">
        <x:v>45023</x:v>
      </x:c>
      <x:c r="D33" s="10" t="n">
        <x:v>45029</x:v>
      </x:c>
      <x:c r="E33" s="10" t="n">
        <x:v>45029</x:v>
      </x:c>
      <x:c r="F33" s="10" t="n">
        <x:v>101</x:v>
      </x:c>
      <x:c r="G33" s="10" t="n">
        <x:v>3</x:v>
      </x:c>
      <x:c r="H33" s="10" t="n">
        <x:v>3</x:v>
      </x:c>
      <x:c r="I33" s="10" t="n">
        <x:v>21</x:v>
      </x:c>
      <x:c r="J33" s="10" t="n">
        <x:v>21</x:v>
      </x:c>
      <x:c r="K33" s="64" t="n">
        <x:v>2610.29</x:v>
      </x:c>
      <x:c r="L33" s="64" t="n">
        <x:v>60237.36</x:v>
      </x:c>
      <x:c r="M33" s="64" t="n">
        <x:v>5421.36</x:v>
      </x:c>
      <x:c r="N33" s="64" t="n">
        <x:v>54816</x:v>
      </x:c>
      <x:c r="O33" s="64" t="n">
        <x:v>1814.11</x:v>
      </x:c>
      <x:c r="P33" s="64" t="n">
        <x:v>38096.22</x:v>
      </x:c>
      <x:c r="Q33" s="64" t="n">
        <x:v>16719.78</x:v>
      </x:c>
      <x:c r="R33" s="10" t="n">
        <x:v>6</x:v>
      </x:c>
      <x:c r="S33" s="10" t="n">
        <x:v>1</x:v>
      </x:c>
      <x:c r="T33" s="10" t="n">
        <x:v>1</x:v>
      </x:c>
      <x:c r="U33" s="10" t="str">
        <x:v>Completed</x:v>
      </x:c>
      <x:c r="V33" s="10" t="n">
        <x:v>30</x:v>
      </x:c>
      <x:c r="W33" s="10" t="str">
        <x:f>XLOOKUP(F33,'产品维表'!$A$2:$A$5,'产品维表'!$D$2:$D$5,"未映射")</x:f>
        <x:v>L</x:v>
      </x:c>
      <x:c r="X33" s="10" t="str">
        <x:f>XLOOKUP(F33,'产品维表'!$A$2:$A$5,'产品维表'!$B$2:$B$5,"未映射")</x:f>
        <x:v>L1</x:v>
      </x:c>
      <x:c r="Y33" s="10" t="str">
        <x:f>XLOOKUP(G33,'渠道维表'!$A$2:$A$4,'渠道维表'!$B$2:$B$4,"未映射")</x:f>
        <x:v>区域经销</x:v>
      </x:c>
      <x:c r="Z33" s="10" t="str">
        <x:f>XLOOKUP(H33,'区域维表'!$A$2:$A$5,'区域维表'!$B$2:$B$5,"未映射")</x:f>
        <x:v>华北</x:v>
      </x:c>
      <x:c r="AA33" s="10" t="n">
        <x:f>XLOOKUP(B33,'日期维表'!$A$2:$A$43,'日期维表'!$F$2:$F$43,0)</x:f>
        <x:v>6</x:v>
      </x:c>
    </x:row>
    <x:row r="34" ht="15" hidden="0" customHeight="1">
      <x:c r="A34" s="10" t="str">
        <x:v>SO00033</x:v>
      </x:c>
      <x:c r="B34" s="10" t="n">
        <x:v>202305</x:v>
      </x:c>
      <x:c r="C34" s="10" t="n">
        <x:v>45063</x:v>
      </x:c>
      <x:c r="D34" s="10" t="n">
        <x:v>45071</x:v>
      </x:c>
      <x:c r="E34" s="10" t="n">
        <x:v>45071</x:v>
      </x:c>
      <x:c r="F34" s="10" t="n">
        <x:v>102</x:v>
      </x:c>
      <x:c r="G34" s="10" t="n">
        <x:v>1</x:v>
      </x:c>
      <x:c r="H34" s="10" t="n">
        <x:v>3</x:v>
      </x:c>
      <x:c r="I34" s="10" t="n">
        <x:v>16</x:v>
      </x:c>
      <x:c r="J34" s="10" t="n">
        <x:v>16</x:v>
      </x:c>
      <x:c r="K34" s="64" t="n">
        <x:v>2891.69</x:v>
      </x:c>
      <x:c r="L34" s="64" t="n">
        <x:v>46267</x:v>
      </x:c>
      <x:c r="M34" s="64" t="n">
        <x:v>0</x:v>
      </x:c>
      <x:c r="N34" s="64" t="n">
        <x:v>46267</x:v>
      </x:c>
      <x:c r="O34" s="64" t="n">
        <x:v>2225.73</x:v>
      </x:c>
      <x:c r="P34" s="64" t="n">
        <x:v>35611.61</x:v>
      </x:c>
      <x:c r="Q34" s="64" t="n">
        <x:v>10655.39</x:v>
      </x:c>
      <x:c r="R34" s="10" t="n">
        <x:v>8</x:v>
      </x:c>
      <x:c r="S34" s="10" t="n">
        <x:v>1</x:v>
      </x:c>
      <x:c r="T34" s="10" t="n">
        <x:v>1</x:v>
      </x:c>
      <x:c r="U34" s="10" t="str">
        <x:v>Completed</x:v>
      </x:c>
      <x:c r="V34" s="10" t="n">
        <x:v>0</x:v>
      </x:c>
      <x:c r="W34" s="10" t="str">
        <x:f>XLOOKUP(F34,'产品维表'!$A$2:$A$5,'产品维表'!$D$2:$D$5,"未映射")</x:f>
        <x:v>L</x:v>
      </x:c>
      <x:c r="X34" s="10" t="str">
        <x:f>XLOOKUP(F34,'产品维表'!$A$2:$A$5,'产品维表'!$B$2:$B$5,"未映射")</x:f>
        <x:v>L2</x:v>
      </x:c>
      <x:c r="Y34" s="10" t="str">
        <x:f>XLOOKUP(G34,'渠道维表'!$A$2:$A$4,'渠道维表'!$B$2:$B$4,"未映射")</x:f>
        <x:v>线上直营</x:v>
      </x:c>
      <x:c r="Z34" s="10" t="str">
        <x:f>XLOOKUP(H34,'区域维表'!$A$2:$A$5,'区域维表'!$B$2:$B$5,"未映射")</x:f>
        <x:v>华北</x:v>
      </x:c>
      <x:c r="AA34" s="10" t="n">
        <x:f>XLOOKUP(B34,'日期维表'!$A$2:$A$43,'日期维表'!$F$2:$F$43,0)</x:f>
        <x:v>6</x:v>
      </x:c>
    </x:row>
    <x:row r="35" ht="15" hidden="0" customHeight="1">
      <x:c r="A35" s="10" t="str">
        <x:v>SO00034</x:v>
      </x:c>
      <x:c r="B35" s="10" t="n">
        <x:v>202305</x:v>
      </x:c>
      <x:c r="C35" s="10" t="n">
        <x:v>45050</x:v>
      </x:c>
      <x:c r="D35" s="10" t="n">
        <x:v>45061</x:v>
      </x:c>
      <x:c r="E35" s="10" t="n">
        <x:v>45061</x:v>
      </x:c>
      <x:c r="F35" s="10" t="n">
        <x:v>101</x:v>
      </x:c>
      <x:c r="G35" s="10" t="n">
        <x:v>1</x:v>
      </x:c>
      <x:c r="H35" s="10" t="n">
        <x:v>4</x:v>
      </x:c>
      <x:c r="I35" s="10" t="n">
        <x:v>25</x:v>
      </x:c>
      <x:c r="J35" s="10" t="n">
        <x:v>25</x:v>
      </x:c>
      <x:c r="K35" s="64" t="n">
        <x:v>2910.4</x:v>
      </x:c>
      <x:c r="L35" s="64" t="n">
        <x:v>72760</x:v>
      </x:c>
      <x:c r="M35" s="64" t="n">
        <x:v>0</x:v>
      </x:c>
      <x:c r="N35" s="64" t="n">
        <x:v>72760</x:v>
      </x:c>
      <x:c r="O35" s="64" t="n">
        <x:v>1852.24</x:v>
      </x:c>
      <x:c r="P35" s="64" t="n">
        <x:v>46305.92</x:v>
      </x:c>
      <x:c r="Q35" s="64" t="n">
        <x:v>26454.08</x:v>
      </x:c>
      <x:c r="R35" s="10" t="n">
        <x:v>11</x:v>
      </x:c>
      <x:c r="S35" s="10" t="n">
        <x:v>1</x:v>
      </x:c>
      <x:c r="T35" s="10" t="n">
        <x:v>1</x:v>
      </x:c>
      <x:c r="U35" s="10" t="str">
        <x:v>Completed</x:v>
      </x:c>
      <x:c r="V35" s="10" t="n">
        <x:v>0</x:v>
      </x:c>
      <x:c r="W35" s="10" t="str">
        <x:f>XLOOKUP(F35,'产品维表'!$A$2:$A$5,'产品维表'!$D$2:$D$5,"未映射")</x:f>
        <x:v>L</x:v>
      </x:c>
      <x:c r="X35" s="10" t="str">
        <x:f>XLOOKUP(F35,'产品维表'!$A$2:$A$5,'产品维表'!$B$2:$B$5,"未映射")</x:f>
        <x:v>L1</x:v>
      </x:c>
      <x:c r="Y35" s="10" t="str">
        <x:f>XLOOKUP(G35,'渠道维表'!$A$2:$A$4,'渠道维表'!$B$2:$B$4,"未映射")</x:f>
        <x:v>线上直营</x:v>
      </x:c>
      <x:c r="Z35" s="10" t="str">
        <x:f>XLOOKUP(H35,'区域维表'!$A$2:$A$5,'区域维表'!$B$2:$B$5,"未映射")</x:f>
        <x:v>中西部</x:v>
      </x:c>
      <x:c r="AA35" s="10" t="n">
        <x:f>XLOOKUP(B35,'日期维表'!$A$2:$A$43,'日期维表'!$F$2:$F$43,0)</x:f>
        <x:v>6</x:v>
      </x:c>
    </x:row>
    <x:row r="36" ht="15" hidden="0" customHeight="1">
      <x:c r="A36" s="10" t="str">
        <x:v>SO00035</x:v>
      </x:c>
      <x:c r="B36" s="10" t="n">
        <x:v>202305</x:v>
      </x:c>
      <x:c r="C36" s="10" t="n">
        <x:v>45049</x:v>
      </x:c>
      <x:c r="D36" s="10" t="n">
        <x:v>45061</x:v>
      </x:c>
      <x:c r="E36" s="10" t="n">
        <x:v>45061</x:v>
      </x:c>
      <x:c r="F36" s="10" t="n">
        <x:v>102</x:v>
      </x:c>
      <x:c r="G36" s="10" t="n">
        <x:v>3</x:v>
      </x:c>
      <x:c r="H36" s="10" t="n">
        <x:v>2</x:v>
      </x:c>
      <x:c r="I36" s="10" t="n">
        <x:v>19</x:v>
      </x:c>
      <x:c r="J36" s="10" t="n">
        <x:v>19</x:v>
      </x:c>
      <x:c r="K36" s="64" t="n">
        <x:v>2815</x:v>
      </x:c>
      <x:c r="L36" s="64" t="n">
        <x:v>58774.73</x:v>
      </x:c>
      <x:c r="M36" s="64" t="n">
        <x:v>5289.73</x:v>
      </x:c>
      <x:c r="N36" s="64" t="n">
        <x:v>53485</x:v>
      </x:c>
      <x:c r="O36" s="64" t="n">
        <x:v>2200.62</x:v>
      </x:c>
      <x:c r="P36" s="64" t="n">
        <x:v>41811.79</x:v>
      </x:c>
      <x:c r="Q36" s="64" t="n">
        <x:v>11673.21</x:v>
      </x:c>
      <x:c r="R36" s="10" t="n">
        <x:v>12</x:v>
      </x:c>
      <x:c r="S36" s="10" t="n">
        <x:v>1</x:v>
      </x:c>
      <x:c r="T36" s="10" t="n">
        <x:v>1</x:v>
      </x:c>
      <x:c r="U36" s="10" t="str">
        <x:v>Completed</x:v>
      </x:c>
      <x:c r="V36" s="10" t="n">
        <x:v>30</x:v>
      </x:c>
      <x:c r="W36" s="10" t="str">
        <x:f>XLOOKUP(F36,'产品维表'!$A$2:$A$5,'产品维表'!$D$2:$D$5,"未映射")</x:f>
        <x:v>L</x:v>
      </x:c>
      <x:c r="X36" s="10" t="str">
        <x:f>XLOOKUP(F36,'产品维表'!$A$2:$A$5,'产品维表'!$B$2:$B$5,"未映射")</x:f>
        <x:v>L2</x:v>
      </x:c>
      <x:c r="Y36" s="10" t="str">
        <x:f>XLOOKUP(G36,'渠道维表'!$A$2:$A$4,'渠道维表'!$B$2:$B$4,"未映射")</x:f>
        <x:v>区域经销</x:v>
      </x:c>
      <x:c r="Z36" s="10" t="str">
        <x:f>XLOOKUP(H36,'区域维表'!$A$2:$A$5,'区域维表'!$B$2:$B$5,"未映射")</x:f>
        <x:v>华南</x:v>
      </x:c>
      <x:c r="AA36" s="10" t="n">
        <x:f>XLOOKUP(B36,'日期维表'!$A$2:$A$43,'日期维表'!$F$2:$F$43,0)</x:f>
        <x:v>6</x:v>
      </x:c>
    </x:row>
    <x:row r="37" ht="15" hidden="0" customHeight="1">
      <x:c r="A37" s="10" t="str">
        <x:v>SO00036</x:v>
      </x:c>
      <x:c r="B37" s="10" t="n">
        <x:v>202305</x:v>
      </x:c>
      <x:c r="C37" s="10" t="n">
        <x:v>45062</x:v>
      </x:c>
      <x:c r="D37" s="10" t="n">
        <x:v>45073</x:v>
      </x:c>
      <x:c r="E37" s="10" t="n">
        <x:v>45073</x:v>
      </x:c>
      <x:c r="F37" s="10" t="n">
        <x:v>102</x:v>
      </x:c>
      <x:c r="G37" s="10" t="n">
        <x:v>2</x:v>
      </x:c>
      <x:c r="H37" s="10" t="n">
        <x:v>2</x:v>
      </x:c>
      <x:c r="I37" s="10" t="n">
        <x:v>22</x:v>
      </x:c>
      <x:c r="J37" s="10" t="n">
        <x:v>22</x:v>
      </x:c>
      <x:c r="K37" s="64" t="n">
        <x:v>2687.5</x:v>
      </x:c>
      <x:c r="L37" s="64" t="n">
        <x:v>60953.61</x:v>
      </x:c>
      <x:c r="M37" s="64" t="n">
        <x:v>1828.61</x:v>
      </x:c>
      <x:c r="N37" s="64" t="n">
        <x:v>59125</x:v>
      </x:c>
      <x:c r="O37" s="64" t="n">
        <x:v>2200.5</x:v>
      </x:c>
      <x:c r="P37" s="64" t="n">
        <x:v>48410.9</x:v>
      </x:c>
      <x:c r="Q37" s="64" t="n">
        <x:v>10714.1</x:v>
      </x:c>
      <x:c r="R37" s="10" t="n">
        <x:v>11</x:v>
      </x:c>
      <x:c r="S37" s="10" t="n">
        <x:v>1</x:v>
      </x:c>
      <x:c r="T37" s="10" t="n">
        <x:v>1</x:v>
      </x:c>
      <x:c r="U37" s="10" t="str">
        <x:v>Completed</x:v>
      </x:c>
      <x:c r="V37" s="10" t="n">
        <x:v>15</x:v>
      </x:c>
      <x:c r="W37" s="10" t="str">
        <x:f>XLOOKUP(F37,'产品维表'!$A$2:$A$5,'产品维表'!$D$2:$D$5,"未映射")</x:f>
        <x:v>L</x:v>
      </x:c>
      <x:c r="X37" s="10" t="str">
        <x:f>XLOOKUP(F37,'产品维表'!$A$2:$A$5,'产品维表'!$B$2:$B$5,"未映射")</x:f>
        <x:v>L2</x:v>
      </x:c>
      <x:c r="Y37" s="10" t="str">
        <x:f>XLOOKUP(G37,'渠道维表'!$A$2:$A$4,'渠道维表'!$B$2:$B$4,"未映射")</x:f>
        <x:v>线下零售</x:v>
      </x:c>
      <x:c r="Z37" s="10" t="str">
        <x:f>XLOOKUP(H37,'区域维表'!$A$2:$A$5,'区域维表'!$B$2:$B$5,"未映射")</x:f>
        <x:v>华南</x:v>
      </x:c>
      <x:c r="AA37" s="10" t="n">
        <x:f>XLOOKUP(B37,'日期维表'!$A$2:$A$43,'日期维表'!$F$2:$F$43,0)</x:f>
        <x:v>6</x:v>
      </x:c>
    </x:row>
    <x:row r="38" ht="15" hidden="0" customHeight="1">
      <x:c r="A38" s="10" t="str">
        <x:v>SO00037</x:v>
      </x:c>
      <x:c r="B38" s="10" t="n">
        <x:v>202305</x:v>
      </x:c>
      <x:c r="C38" s="10" t="n">
        <x:v>45052</x:v>
      </x:c>
      <x:c r="D38" s="10" t="n">
        <x:v>45059</x:v>
      </x:c>
      <x:c r="E38" s="10" t="n">
        <x:v>45059</x:v>
      </x:c>
      <x:c r="F38" s="10" t="n">
        <x:v>101</x:v>
      </x:c>
      <x:c r="G38" s="10" t="n">
        <x:v>1</x:v>
      </x:c>
      <x:c r="H38" s="10" t="n">
        <x:v>4</x:v>
      </x:c>
      <x:c r="I38" s="10" t="n">
        <x:v>18</x:v>
      </x:c>
      <x:c r="J38" s="10" t="n">
        <x:v>18</x:v>
      </x:c>
      <x:c r="K38" s="64" t="n">
        <x:v>2650.83</x:v>
      </x:c>
      <x:c r="L38" s="64" t="n">
        <x:v>47715</x:v>
      </x:c>
      <x:c r="M38" s="64" t="n">
        <x:v>0</x:v>
      </x:c>
      <x:c r="N38" s="64" t="n">
        <x:v>47715</x:v>
      </x:c>
      <x:c r="O38" s="64" t="n">
        <x:v>1863.97</x:v>
      </x:c>
      <x:c r="P38" s="64" t="n">
        <x:v>33551.38</x:v>
      </x:c>
      <x:c r="Q38" s="64" t="n">
        <x:v>14163.62</x:v>
      </x:c>
      <x:c r="R38" s="10" t="n">
        <x:v>7</x:v>
      </x:c>
      <x:c r="S38" s="10" t="n">
        <x:v>1</x:v>
      </x:c>
      <x:c r="T38" s="10" t="n">
        <x:v>1</x:v>
      </x:c>
      <x:c r="U38" s="10" t="str">
        <x:v>Completed</x:v>
      </x:c>
      <x:c r="V38" s="10" t="n">
        <x:v>0</x:v>
      </x:c>
      <x:c r="W38" s="10" t="str">
        <x:f>XLOOKUP(F38,'产品维表'!$A$2:$A$5,'产品维表'!$D$2:$D$5,"未映射")</x:f>
        <x:v>L</x:v>
      </x:c>
      <x:c r="X38" s="10" t="str">
        <x:f>XLOOKUP(F38,'产品维表'!$A$2:$A$5,'产品维表'!$B$2:$B$5,"未映射")</x:f>
        <x:v>L1</x:v>
      </x:c>
      <x:c r="Y38" s="10" t="str">
        <x:f>XLOOKUP(G38,'渠道维表'!$A$2:$A$4,'渠道维表'!$B$2:$B$4,"未映射")</x:f>
        <x:v>线上直营</x:v>
      </x:c>
      <x:c r="Z38" s="10" t="str">
        <x:f>XLOOKUP(H38,'区域维表'!$A$2:$A$5,'区域维表'!$B$2:$B$5,"未映射")</x:f>
        <x:v>中西部</x:v>
      </x:c>
      <x:c r="AA38" s="10" t="n">
        <x:f>XLOOKUP(B38,'日期维表'!$A$2:$A$43,'日期维表'!$F$2:$F$43,0)</x:f>
        <x:v>6</x:v>
      </x:c>
    </x:row>
    <x:row r="39" ht="15" hidden="0" customHeight="1">
      <x:c r="A39" s="10" t="str">
        <x:v>SO00038</x:v>
      </x:c>
      <x:c r="B39" s="10" t="n">
        <x:v>202305</x:v>
      </x:c>
      <x:c r="C39" s="10" t="n">
        <x:v>45054</x:v>
      </x:c>
      <x:c r="D39" s="10" t="n">
        <x:v>45066</x:v>
      </x:c>
      <x:c r="E39" s="10" t="n">
        <x:v>45066</x:v>
      </x:c>
      <x:c r="F39" s="10" t="n">
        <x:v>102</x:v>
      </x:c>
      <x:c r="G39" s="10" t="n">
        <x:v>2</x:v>
      </x:c>
      <x:c r="H39" s="10" t="n">
        <x:v>1</x:v>
      </x:c>
      <x:c r="I39" s="10" t="n">
        <x:v>18</x:v>
      </x:c>
      <x:c r="J39" s="10" t="n">
        <x:v>18</x:v>
      </x:c>
      <x:c r="K39" s="64" t="n">
        <x:v>2716.67</x:v>
      </x:c>
      <x:c r="L39" s="64" t="n">
        <x:v>50412.37</x:v>
      </x:c>
      <x:c r="M39" s="64" t="n">
        <x:v>1512.37</x:v>
      </x:c>
      <x:c r="N39" s="64" t="n">
        <x:v>48900</x:v>
      </x:c>
      <x:c r="O39" s="64" t="n">
        <x:v>2243.53</x:v>
      </x:c>
      <x:c r="P39" s="64" t="n">
        <x:v>40383.5</x:v>
      </x:c>
      <x:c r="Q39" s="64" t="n">
        <x:v>8516.5</x:v>
      </x:c>
      <x:c r="R39" s="10" t="n">
        <x:v>12</x:v>
      </x:c>
      <x:c r="S39" s="10" t="n">
        <x:v>1</x:v>
      </x:c>
      <x:c r="T39" s="10" t="n">
        <x:v>1</x:v>
      </x:c>
      <x:c r="U39" s="10" t="str">
        <x:v>Completed</x:v>
      </x:c>
      <x:c r="V39" s="10" t="n">
        <x:v>15</x:v>
      </x:c>
      <x:c r="W39" s="10" t="str">
        <x:f>XLOOKUP(F39,'产品维表'!$A$2:$A$5,'产品维表'!$D$2:$D$5,"未映射")</x:f>
        <x:v>L</x:v>
      </x:c>
      <x:c r="X39" s="10" t="str">
        <x:f>XLOOKUP(F39,'产品维表'!$A$2:$A$5,'产品维表'!$B$2:$B$5,"未映射")</x:f>
        <x:v>L2</x:v>
      </x:c>
      <x:c r="Y39" s="10" t="str">
        <x:f>XLOOKUP(G39,'渠道维表'!$A$2:$A$4,'渠道维表'!$B$2:$B$4,"未映射")</x:f>
        <x:v>线下零售</x:v>
      </x:c>
      <x:c r="Z39" s="10" t="str">
        <x:f>XLOOKUP(H39,'区域维表'!$A$2:$A$5,'区域维表'!$B$2:$B$5,"未映射")</x:f>
        <x:v>华东</x:v>
      </x:c>
      <x:c r="AA39" s="10" t="n">
        <x:f>XLOOKUP(B39,'日期维表'!$A$2:$A$43,'日期维表'!$F$2:$F$43,0)</x:f>
        <x:v>6</x:v>
      </x:c>
    </x:row>
    <x:row r="40" ht="15" hidden="0" customHeight="1">
      <x:c r="A40" s="10" t="str">
        <x:v>SO00039</x:v>
      </x:c>
      <x:c r="B40" s="10" t="n">
        <x:v>202305</x:v>
      </x:c>
      <x:c r="C40" s="10" t="n">
        <x:v>45052</x:v>
      </x:c>
      <x:c r="D40" s="10" t="n">
        <x:v>45061</x:v>
      </x:c>
      <x:c r="E40" s="10" t="n">
        <x:v>45061</x:v>
      </x:c>
      <x:c r="F40" s="10" t="n">
        <x:v>102</x:v>
      </x:c>
      <x:c r="G40" s="10" t="n">
        <x:v>1</x:v>
      </x:c>
      <x:c r="H40" s="10" t="n">
        <x:v>1</x:v>
      </x:c>
      <x:c r="I40" s="10" t="n">
        <x:v>12</x:v>
      </x:c>
      <x:c r="J40" s="10" t="n">
        <x:v>12</x:v>
      </x:c>
      <x:c r="K40" s="64" t="n">
        <x:v>2742.5</x:v>
      </x:c>
      <x:c r="L40" s="64" t="n">
        <x:v>32910</x:v>
      </x:c>
      <x:c r="M40" s="64" t="n">
        <x:v>0</x:v>
      </x:c>
      <x:c r="N40" s="64" t="n">
        <x:v>32910</x:v>
      </x:c>
      <x:c r="O40" s="64" t="n">
        <x:v>2223.21</x:v>
      </x:c>
      <x:c r="P40" s="64" t="n">
        <x:v>26678.48</x:v>
      </x:c>
      <x:c r="Q40" s="64" t="n">
        <x:v>6231.52</x:v>
      </x:c>
      <x:c r="R40" s="10" t="n">
        <x:v>9</x:v>
      </x:c>
      <x:c r="S40" s="10" t="n">
        <x:v>1</x:v>
      </x:c>
      <x:c r="T40" s="10" t="n">
        <x:v>1</x:v>
      </x:c>
      <x:c r="U40" s="10" t="str">
        <x:v>Completed</x:v>
      </x:c>
      <x:c r="V40" s="10" t="n">
        <x:v>0</x:v>
      </x:c>
      <x:c r="W40" s="10" t="str">
        <x:f>XLOOKUP(F40,'产品维表'!$A$2:$A$5,'产品维表'!$D$2:$D$5,"未映射")</x:f>
        <x:v>L</x:v>
      </x:c>
      <x:c r="X40" s="10" t="str">
        <x:f>XLOOKUP(F40,'产品维表'!$A$2:$A$5,'产品维表'!$B$2:$B$5,"未映射")</x:f>
        <x:v>L2</x:v>
      </x:c>
      <x:c r="Y40" s="10" t="str">
        <x:f>XLOOKUP(G40,'渠道维表'!$A$2:$A$4,'渠道维表'!$B$2:$B$4,"未映射")</x:f>
        <x:v>线上直营</x:v>
      </x:c>
      <x:c r="Z40" s="10" t="str">
        <x:f>XLOOKUP(H40,'区域维表'!$A$2:$A$5,'区域维表'!$B$2:$B$5,"未映射")</x:f>
        <x:v>华东</x:v>
      </x:c>
      <x:c r="AA40" s="10" t="n">
        <x:f>XLOOKUP(B40,'日期维表'!$A$2:$A$43,'日期维表'!$F$2:$F$43,0)</x:f>
        <x:v>6</x:v>
      </x:c>
    </x:row>
    <x:row r="41" ht="15" hidden="0" customHeight="1">
      <x:c r="A41" s="10" t="str">
        <x:v>SO00040</x:v>
      </x:c>
      <x:c r="B41" s="10" t="n">
        <x:v>202305</x:v>
      </x:c>
      <x:c r="C41" s="10" t="n">
        <x:v>45058</x:v>
      </x:c>
      <x:c r="D41" s="10" t="n">
        <x:v>45067</x:v>
      </x:c>
      <x:c r="E41" s="10" t="n">
        <x:v>45067</x:v>
      </x:c>
      <x:c r="F41" s="10" t="n">
        <x:v>101</x:v>
      </x:c>
      <x:c r="G41" s="10" t="n">
        <x:v>2</x:v>
      </x:c>
      <x:c r="H41" s="10" t="n">
        <x:v>2</x:v>
      </x:c>
      <x:c r="I41" s="10" t="n">
        <x:v>24</x:v>
      </x:c>
      <x:c r="J41" s="10" t="n">
        <x:v>24</x:v>
      </x:c>
      <x:c r="K41" s="64" t="n">
        <x:v>2662.96</x:v>
      </x:c>
      <x:c r="L41" s="64" t="n">
        <x:v>65887.63</x:v>
      </x:c>
      <x:c r="M41" s="64" t="n">
        <x:v>1976.63</x:v>
      </x:c>
      <x:c r="N41" s="64" t="n">
        <x:v>63911</x:v>
      </x:c>
      <x:c r="O41" s="64" t="n">
        <x:v>1843.47</x:v>
      </x:c>
      <x:c r="P41" s="64" t="n">
        <x:v>44243.22</x:v>
      </x:c>
      <x:c r="Q41" s="64" t="n">
        <x:v>19667.78</x:v>
      </x:c>
      <x:c r="R41" s="10" t="n">
        <x:v>9</x:v>
      </x:c>
      <x:c r="S41" s="10" t="n">
        <x:v>1</x:v>
      </x:c>
      <x:c r="T41" s="10" t="n">
        <x:v>1</x:v>
      </x:c>
      <x:c r="U41" s="10" t="str">
        <x:v>Completed</x:v>
      </x:c>
      <x:c r="V41" s="10" t="n">
        <x:v>15</x:v>
      </x:c>
      <x:c r="W41" s="10" t="str">
        <x:f>XLOOKUP(F41,'产品维表'!$A$2:$A$5,'产品维表'!$D$2:$D$5,"未映射")</x:f>
        <x:v>L</x:v>
      </x:c>
      <x:c r="X41" s="10" t="str">
        <x:f>XLOOKUP(F41,'产品维表'!$A$2:$A$5,'产品维表'!$B$2:$B$5,"未映射")</x:f>
        <x:v>L1</x:v>
      </x:c>
      <x:c r="Y41" s="10" t="str">
        <x:f>XLOOKUP(G41,'渠道维表'!$A$2:$A$4,'渠道维表'!$B$2:$B$4,"未映射")</x:f>
        <x:v>线下零售</x:v>
      </x:c>
      <x:c r="Z41" s="10" t="str">
        <x:f>XLOOKUP(H41,'区域维表'!$A$2:$A$5,'区域维表'!$B$2:$B$5,"未映射")</x:f>
        <x:v>华南</x:v>
      </x:c>
      <x:c r="AA41" s="10" t="n">
        <x:f>XLOOKUP(B41,'日期维表'!$A$2:$A$43,'日期维表'!$F$2:$F$43,0)</x:f>
        <x:v>6</x:v>
      </x:c>
    </x:row>
    <x:row r="42" ht="15" hidden="0" customHeight="1">
      <x:c r="A42" s="10" t="str">
        <x:v>SO00041</x:v>
      </x:c>
      <x:c r="B42" s="10" t="n">
        <x:v>202306</x:v>
      </x:c>
      <x:c r="C42" s="10" t="n">
        <x:v>45085</x:v>
      </x:c>
      <x:c r="D42" s="10" t="n">
        <x:v>45095</x:v>
      </x:c>
      <x:c r="E42" s="10" t="n">
        <x:v>45095</x:v>
      </x:c>
      <x:c r="F42" s="10" t="n">
        <x:v>101</x:v>
      </x:c>
      <x:c r="G42" s="10" t="n">
        <x:v>3</x:v>
      </x:c>
      <x:c r="H42" s="10" t="n">
        <x:v>4</x:v>
      </x:c>
      <x:c r="I42" s="10" t="n">
        <x:v>20</x:v>
      </x:c>
      <x:c r="J42" s="10" t="n">
        <x:v>20</x:v>
      </x:c>
      <x:c r="K42" s="64" t="n">
        <x:v>2884.05</x:v>
      </x:c>
      <x:c r="L42" s="64" t="n">
        <x:v>63385.71</x:v>
      </x:c>
      <x:c r="M42" s="64" t="n">
        <x:v>5704.71</x:v>
      </x:c>
      <x:c r="N42" s="64" t="n">
        <x:v>57681</x:v>
      </x:c>
      <x:c r="O42" s="64" t="n">
        <x:v>1821.06</x:v>
      </x:c>
      <x:c r="P42" s="64" t="n">
        <x:v>36421.16</x:v>
      </x:c>
      <x:c r="Q42" s="64" t="n">
        <x:v>21259.84</x:v>
      </x:c>
      <x:c r="R42" s="10" t="n">
        <x:v>10</x:v>
      </x:c>
      <x:c r="S42" s="10" t="n">
        <x:v>1</x:v>
      </x:c>
      <x:c r="T42" s="10" t="n">
        <x:v>1</x:v>
      </x:c>
      <x:c r="U42" s="10" t="str">
        <x:v>Completed</x:v>
      </x:c>
      <x:c r="V42" s="10" t="n">
        <x:v>30</x:v>
      </x:c>
      <x:c r="W42" s="10" t="str">
        <x:f>XLOOKUP(F42,'产品维表'!$A$2:$A$5,'产品维表'!$D$2:$D$5,"未映射")</x:f>
        <x:v>L</x:v>
      </x:c>
      <x:c r="X42" s="10" t="str">
        <x:f>XLOOKUP(F42,'产品维表'!$A$2:$A$5,'产品维表'!$B$2:$B$5,"未映射")</x:f>
        <x:v>L1</x:v>
      </x:c>
      <x:c r="Y42" s="10" t="str">
        <x:f>XLOOKUP(G42,'渠道维表'!$A$2:$A$4,'渠道维表'!$B$2:$B$4,"未映射")</x:f>
        <x:v>区域经销</x:v>
      </x:c>
      <x:c r="Z42" s="10" t="str">
        <x:f>XLOOKUP(H42,'区域维表'!$A$2:$A$5,'区域维表'!$B$2:$B$5,"未映射")</x:f>
        <x:v>中西部</x:v>
      </x:c>
      <x:c r="AA42" s="10" t="n">
        <x:f>XLOOKUP(B42,'日期维表'!$A$2:$A$43,'日期维表'!$F$2:$F$43,0)</x:f>
        <x:v>6</x:v>
      </x:c>
    </x:row>
    <x:row r="43" ht="15" hidden="0" customHeight="1">
      <x:c r="A43" s="10" t="str">
        <x:v>SO00042</x:v>
      </x:c>
      <x:c r="B43" s="10" t="n">
        <x:v>202306</x:v>
      </x:c>
      <x:c r="C43" s="10" t="n">
        <x:v>45098</x:v>
      </x:c>
      <x:c r="D43" s="10" t="n">
        <x:v>45109</x:v>
      </x:c>
      <x:c r="E43" s="10" t="n">
        <x:v>45109</x:v>
      </x:c>
      <x:c r="F43" s="10" t="n">
        <x:v>101</x:v>
      </x:c>
      <x:c r="G43" s="10" t="n">
        <x:v>3</x:v>
      </x:c>
      <x:c r="H43" s="10" t="n">
        <x:v>1</x:v>
      </x:c>
      <x:c r="I43" s="10" t="n">
        <x:v>24</x:v>
      </x:c>
      <x:c r="J43" s="10" t="n">
        <x:v>24</x:v>
      </x:c>
      <x:c r="K43" s="64" t="n">
        <x:v>2628.33</x:v>
      </x:c>
      <x:c r="L43" s="64" t="n">
        <x:v>69318.68</x:v>
      </x:c>
      <x:c r="M43" s="64" t="n">
        <x:v>6238.68</x:v>
      </x:c>
      <x:c r="N43" s="64" t="n">
        <x:v>63080</x:v>
      </x:c>
      <x:c r="O43" s="64" t="n">
        <x:v>1805.56</x:v>
      </x:c>
      <x:c r="P43" s="64" t="n">
        <x:v>43333.36</x:v>
      </x:c>
      <x:c r="Q43" s="64" t="n">
        <x:v>19746.64</x:v>
      </x:c>
      <x:c r="R43" s="10" t="n">
        <x:v>11</x:v>
      </x:c>
      <x:c r="S43" s="10" t="n">
        <x:v>1</x:v>
      </x:c>
      <x:c r="T43" s="10" t="n">
        <x:v>1</x:v>
      </x:c>
      <x:c r="U43" s="10" t="str">
        <x:v>Completed</x:v>
      </x:c>
      <x:c r="V43" s="10" t="n">
        <x:v>30</x:v>
      </x:c>
      <x:c r="W43" s="10" t="str">
        <x:f>XLOOKUP(F43,'产品维表'!$A$2:$A$5,'产品维表'!$D$2:$D$5,"未映射")</x:f>
        <x:v>L</x:v>
      </x:c>
      <x:c r="X43" s="10" t="str">
        <x:f>XLOOKUP(F43,'产品维表'!$A$2:$A$5,'产品维表'!$B$2:$B$5,"未映射")</x:f>
        <x:v>L1</x:v>
      </x:c>
      <x:c r="Y43" s="10" t="str">
        <x:f>XLOOKUP(G43,'渠道维表'!$A$2:$A$4,'渠道维表'!$B$2:$B$4,"未映射")</x:f>
        <x:v>区域经销</x:v>
      </x:c>
      <x:c r="Z43" s="10" t="str">
        <x:f>XLOOKUP(H43,'区域维表'!$A$2:$A$5,'区域维表'!$B$2:$B$5,"未映射")</x:f>
        <x:v>华东</x:v>
      </x:c>
      <x:c r="AA43" s="10" t="n">
        <x:f>XLOOKUP(B43,'日期维表'!$A$2:$A$43,'日期维表'!$F$2:$F$43,0)</x:f>
        <x:v>6</x:v>
      </x:c>
    </x:row>
    <x:row r="44" ht="15" hidden="0" customHeight="1">
      <x:c r="A44" s="10" t="str">
        <x:v>SO00043</x:v>
      </x:c>
      <x:c r="B44" s="10" t="n">
        <x:v>202306</x:v>
      </x:c>
      <x:c r="C44" s="10" t="n">
        <x:v>45084</x:v>
      </x:c>
      <x:c r="D44" s="10" t="n">
        <x:v>45092</x:v>
      </x:c>
      <x:c r="E44" s="10" t="n">
        <x:v>45092</x:v>
      </x:c>
      <x:c r="F44" s="10" t="n">
        <x:v>101</x:v>
      </x:c>
      <x:c r="G44" s="10" t="n">
        <x:v>3</x:v>
      </x:c>
      <x:c r="H44" s="10" t="n">
        <x:v>3</x:v>
      </x:c>
      <x:c r="I44" s="10" t="n">
        <x:v>18</x:v>
      </x:c>
      <x:c r="J44" s="10" t="n">
        <x:v>18</x:v>
      </x:c>
      <x:c r="K44" s="64" t="n">
        <x:v>2880.61</x:v>
      </x:c>
      <x:c r="L44" s="64" t="n">
        <x:v>56979.12</x:v>
      </x:c>
      <x:c r="M44" s="64" t="n">
        <x:v>5128.12</x:v>
      </x:c>
      <x:c r="N44" s="64" t="n">
        <x:v>51851</x:v>
      </x:c>
      <x:c r="O44" s="64" t="n">
        <x:v>1808.67</x:v>
      </x:c>
      <x:c r="P44" s="64" t="n">
        <x:v>32555.99</x:v>
      </x:c>
      <x:c r="Q44" s="64" t="n">
        <x:v>19295.01</x:v>
      </x:c>
      <x:c r="R44" s="10" t="n">
        <x:v>8</x:v>
      </x:c>
      <x:c r="S44" s="10" t="n">
        <x:v>1</x:v>
      </x:c>
      <x:c r="T44" s="10" t="n">
        <x:v>1</x:v>
      </x:c>
      <x:c r="U44" s="10" t="str">
        <x:v>Completed</x:v>
      </x:c>
      <x:c r="V44" s="10" t="n">
        <x:v>30</x:v>
      </x:c>
      <x:c r="W44" s="10" t="str">
        <x:f>XLOOKUP(F44,'产品维表'!$A$2:$A$5,'产品维表'!$D$2:$D$5,"未映射")</x:f>
        <x:v>L</x:v>
      </x:c>
      <x:c r="X44" s="10" t="str">
        <x:f>XLOOKUP(F44,'产品维表'!$A$2:$A$5,'产品维表'!$B$2:$B$5,"未映射")</x:f>
        <x:v>L1</x:v>
      </x:c>
      <x:c r="Y44" s="10" t="str">
        <x:f>XLOOKUP(G44,'渠道维表'!$A$2:$A$4,'渠道维表'!$B$2:$B$4,"未映射")</x:f>
        <x:v>区域经销</x:v>
      </x:c>
      <x:c r="Z44" s="10" t="str">
        <x:f>XLOOKUP(H44,'区域维表'!$A$2:$A$5,'区域维表'!$B$2:$B$5,"未映射")</x:f>
        <x:v>华北</x:v>
      </x:c>
      <x:c r="AA44" s="10" t="n">
        <x:f>XLOOKUP(B44,'日期维表'!$A$2:$A$43,'日期维表'!$F$2:$F$43,0)</x:f>
        <x:v>6</x:v>
      </x:c>
    </x:row>
    <x:row r="45" ht="15" hidden="0" customHeight="1">
      <x:c r="A45" s="10" t="str">
        <x:v>SO00044</x:v>
      </x:c>
      <x:c r="B45" s="10" t="n">
        <x:v>202306</x:v>
      </x:c>
      <x:c r="C45" s="10" t="n">
        <x:v>45081</x:v>
      </x:c>
      <x:c r="D45" s="10" t="n">
        <x:v>45092</x:v>
      </x:c>
      <x:c r="E45" s="10" t="n">
        <x:v>45095</x:v>
      </x:c>
      <x:c r="F45" s="10" t="n">
        <x:v>102</x:v>
      </x:c>
      <x:c r="G45" s="10" t="n">
        <x:v>1</x:v>
      </x:c>
      <x:c r="H45" s="10" t="n">
        <x:v>1</x:v>
      </x:c>
      <x:c r="I45" s="10" t="n">
        <x:v>23</x:v>
      </x:c>
      <x:c r="J45" s="10" t="n">
        <x:v>23</x:v>
      </x:c>
      <x:c r="K45" s="64" t="n">
        <x:v>2719.09</x:v>
      </x:c>
      <x:c r="L45" s="64" t="n">
        <x:v>62539</x:v>
      </x:c>
      <x:c r="M45" s="64" t="n">
        <x:v>0</x:v>
      </x:c>
      <x:c r="N45" s="64" t="n">
        <x:v>62539</x:v>
      </x:c>
      <x:c r="O45" s="64" t="n">
        <x:v>2281.74</x:v>
      </x:c>
      <x:c r="P45" s="64" t="n">
        <x:v>52480.02</x:v>
      </x:c>
      <x:c r="Q45" s="64" t="n">
        <x:v>10058.98</x:v>
      </x:c>
      <x:c r="R45" s="10" t="n">
        <x:v>14</x:v>
      </x:c>
      <x:c r="S45" s="10" t="n">
        <x:v>0</x:v>
      </x:c>
      <x:c r="T45" s="10" t="n">
        <x:v>1</x:v>
      </x:c>
      <x:c r="U45" s="10" t="str">
        <x:v>Completed</x:v>
      </x:c>
      <x:c r="V45" s="10" t="n">
        <x:v>0</x:v>
      </x:c>
      <x:c r="W45" s="10" t="str">
        <x:f>XLOOKUP(F45,'产品维表'!$A$2:$A$5,'产品维表'!$D$2:$D$5,"未映射")</x:f>
        <x:v>L</x:v>
      </x:c>
      <x:c r="X45" s="10" t="str">
        <x:f>XLOOKUP(F45,'产品维表'!$A$2:$A$5,'产品维表'!$B$2:$B$5,"未映射")</x:f>
        <x:v>L2</x:v>
      </x:c>
      <x:c r="Y45" s="10" t="str">
        <x:f>XLOOKUP(G45,'渠道维表'!$A$2:$A$4,'渠道维表'!$B$2:$B$4,"未映射")</x:f>
        <x:v>线上直营</x:v>
      </x:c>
      <x:c r="Z45" s="10" t="str">
        <x:f>XLOOKUP(H45,'区域维表'!$A$2:$A$5,'区域维表'!$B$2:$B$5,"未映射")</x:f>
        <x:v>华东</x:v>
      </x:c>
      <x:c r="AA45" s="10" t="n">
        <x:f>XLOOKUP(B45,'日期维表'!$A$2:$A$43,'日期维表'!$F$2:$F$43,0)</x:f>
        <x:v>6</x:v>
      </x:c>
    </x:row>
    <x:row r="46" ht="15" hidden="0" customHeight="1">
      <x:c r="A46" s="10" t="str">
        <x:v>SO00045</x:v>
      </x:c>
      <x:c r="B46" s="10" t="n">
        <x:v>202306</x:v>
      </x:c>
      <x:c r="C46" s="10" t="n">
        <x:v>45091</x:v>
      </x:c>
      <x:c r="D46" s="10" t="n">
        <x:v>45097</x:v>
      </x:c>
      <x:c r="E46" s="10" t="n">
        <x:v>45097</x:v>
      </x:c>
      <x:c r="F46" s="10" t="n">
        <x:v>101</x:v>
      </x:c>
      <x:c r="G46" s="10" t="n">
        <x:v>3</x:v>
      </x:c>
      <x:c r="H46" s="10" t="n">
        <x:v>2</x:v>
      </x:c>
      <x:c r="I46" s="10" t="n">
        <x:v>24</x:v>
      </x:c>
      <x:c r="J46" s="10" t="n">
        <x:v>24</x:v>
      </x:c>
      <x:c r="K46" s="64" t="n">
        <x:v>2731</x:v>
      </x:c>
      <x:c r="L46" s="64" t="n">
        <x:v>72026.37</x:v>
      </x:c>
      <x:c r="M46" s="64" t="n">
        <x:v>6482.37</x:v>
      </x:c>
      <x:c r="N46" s="64" t="n">
        <x:v>65544</x:v>
      </x:c>
      <x:c r="O46" s="64" t="n">
        <x:v>1856.97</x:v>
      </x:c>
      <x:c r="P46" s="64" t="n">
        <x:v>44567.37</x:v>
      </x:c>
      <x:c r="Q46" s="64" t="n">
        <x:v>20976.63</x:v>
      </x:c>
      <x:c r="R46" s="10" t="n">
        <x:v>6</x:v>
      </x:c>
      <x:c r="S46" s="10" t="n">
        <x:v>1</x:v>
      </x:c>
      <x:c r="T46" s="10" t="n">
        <x:v>1</x:v>
      </x:c>
      <x:c r="U46" s="10" t="str">
        <x:v>Completed</x:v>
      </x:c>
      <x:c r="V46" s="10" t="n">
        <x:v>30</x:v>
      </x:c>
      <x:c r="W46" s="10" t="str">
        <x:f>XLOOKUP(F46,'产品维表'!$A$2:$A$5,'产品维表'!$D$2:$D$5,"未映射")</x:f>
        <x:v>L</x:v>
      </x:c>
      <x:c r="X46" s="10" t="str">
        <x:f>XLOOKUP(F46,'产品维表'!$A$2:$A$5,'产品维表'!$B$2:$B$5,"未映射")</x:f>
        <x:v>L1</x:v>
      </x:c>
      <x:c r="Y46" s="10" t="str">
        <x:f>XLOOKUP(G46,'渠道维表'!$A$2:$A$4,'渠道维表'!$B$2:$B$4,"未映射")</x:f>
        <x:v>区域经销</x:v>
      </x:c>
      <x:c r="Z46" s="10" t="str">
        <x:f>XLOOKUP(H46,'区域维表'!$A$2:$A$5,'区域维表'!$B$2:$B$5,"未映射")</x:f>
        <x:v>华南</x:v>
      </x:c>
      <x:c r="AA46" s="10" t="n">
        <x:f>XLOOKUP(B46,'日期维表'!$A$2:$A$43,'日期维表'!$F$2:$F$43,0)</x:f>
        <x:v>6</x:v>
      </x:c>
    </x:row>
    <x:row r="47" ht="15" hidden="0" customHeight="1">
      <x:c r="A47" s="10" t="str">
        <x:v>SO00046</x:v>
      </x:c>
      <x:c r="B47" s="10" t="n">
        <x:v>202306</x:v>
      </x:c>
      <x:c r="C47" s="10" t="n">
        <x:v>45099</x:v>
      </x:c>
      <x:c r="D47" s="10" t="n">
        <x:v>45110</x:v>
      </x:c>
      <x:c r="E47" s="10" t="n">
        <x:v>45110</x:v>
      </x:c>
      <x:c r="F47" s="10" t="n">
        <x:v>101</x:v>
      </x:c>
      <x:c r="G47" s="10" t="n">
        <x:v>3</x:v>
      </x:c>
      <x:c r="H47" s="10" t="n">
        <x:v>4</x:v>
      </x:c>
      <x:c r="I47" s="10" t="n">
        <x:v>23</x:v>
      </x:c>
      <x:c r="J47" s="10" t="n">
        <x:v>23</x:v>
      </x:c>
      <x:c r="K47" s="64" t="n">
        <x:v>2706.48</x:v>
      </x:c>
      <x:c r="L47" s="64" t="n">
        <x:v>68405.49</x:v>
      </x:c>
      <x:c r="M47" s="64" t="n">
        <x:v>6156.49</x:v>
      </x:c>
      <x:c r="N47" s="64" t="n">
        <x:v>62249</x:v>
      </x:c>
      <x:c r="O47" s="64" t="n">
        <x:v>1860.68</x:v>
      </x:c>
      <x:c r="P47" s="64" t="n">
        <x:v>42795.7</x:v>
      </x:c>
      <x:c r="Q47" s="64" t="n">
        <x:v>19453.3</x:v>
      </x:c>
      <x:c r="R47" s="10" t="n">
        <x:v>11</x:v>
      </x:c>
      <x:c r="S47" s="10" t="n">
        <x:v>1</x:v>
      </x:c>
      <x:c r="T47" s="10" t="n">
        <x:v>1</x:v>
      </x:c>
      <x:c r="U47" s="10" t="str">
        <x:v>Completed</x:v>
      </x:c>
      <x:c r="V47" s="10" t="n">
        <x:v>30</x:v>
      </x:c>
      <x:c r="W47" s="10" t="str">
        <x:f>XLOOKUP(F47,'产品维表'!$A$2:$A$5,'产品维表'!$D$2:$D$5,"未映射")</x:f>
        <x:v>L</x:v>
      </x:c>
      <x:c r="X47" s="10" t="str">
        <x:f>XLOOKUP(F47,'产品维表'!$A$2:$A$5,'产品维表'!$B$2:$B$5,"未映射")</x:f>
        <x:v>L1</x:v>
      </x:c>
      <x:c r="Y47" s="10" t="str">
        <x:f>XLOOKUP(G47,'渠道维表'!$A$2:$A$4,'渠道维表'!$B$2:$B$4,"未映射")</x:f>
        <x:v>区域经销</x:v>
      </x:c>
      <x:c r="Z47" s="10" t="str">
        <x:f>XLOOKUP(H47,'区域维表'!$A$2:$A$5,'区域维表'!$B$2:$B$5,"未映射")</x:f>
        <x:v>中西部</x:v>
      </x:c>
      <x:c r="AA47" s="10" t="n">
        <x:f>XLOOKUP(B47,'日期维表'!$A$2:$A$43,'日期维表'!$F$2:$F$43,0)</x:f>
        <x:v>6</x:v>
      </x:c>
    </x:row>
    <x:row r="48" ht="15" hidden="0" customHeight="1">
      <x:c r="A48" s="10" t="str">
        <x:v>SO00047</x:v>
      </x:c>
      <x:c r="B48" s="10" t="n">
        <x:v>202306</x:v>
      </x:c>
      <x:c r="C48" s="10" t="n">
        <x:v>45084</x:v>
      </x:c>
      <x:c r="D48" s="10" t="n">
        <x:v>45092</x:v>
      </x:c>
      <x:c r="E48" s="10" t="n">
        <x:v>45092</x:v>
      </x:c>
      <x:c r="F48" s="10" t="n">
        <x:v>102</x:v>
      </x:c>
      <x:c r="G48" s="10" t="n">
        <x:v>2</x:v>
      </x:c>
      <x:c r="H48" s="10" t="n">
        <x:v>2</x:v>
      </x:c>
      <x:c r="I48" s="10" t="n">
        <x:v>27</x:v>
      </x:c>
      <x:c r="J48" s="10" t="n">
        <x:v>27</x:v>
      </x:c>
      <x:c r="K48" s="64" t="n">
        <x:v>2839.56</x:v>
      </x:c>
      <x:c r="L48" s="64" t="n">
        <x:v>79039.18</x:v>
      </x:c>
      <x:c r="M48" s="64" t="n">
        <x:v>2371.18</x:v>
      </x:c>
      <x:c r="N48" s="64" t="n">
        <x:v>76668</x:v>
      </x:c>
      <x:c r="O48" s="64" t="n">
        <x:v>2285.77</x:v>
      </x:c>
      <x:c r="P48" s="64" t="n">
        <x:v>61715.83</x:v>
      </x:c>
      <x:c r="Q48" s="64" t="n">
        <x:v>14952.17</x:v>
      </x:c>
      <x:c r="R48" s="10" t="n">
        <x:v>8</x:v>
      </x:c>
      <x:c r="S48" s="10" t="n">
        <x:v>1</x:v>
      </x:c>
      <x:c r="T48" s="10" t="n">
        <x:v>1</x:v>
      </x:c>
      <x:c r="U48" s="10" t="str">
        <x:v>Completed</x:v>
      </x:c>
      <x:c r="V48" s="10" t="n">
        <x:v>15</x:v>
      </x:c>
      <x:c r="W48" s="10" t="str">
        <x:f>XLOOKUP(F48,'产品维表'!$A$2:$A$5,'产品维表'!$D$2:$D$5,"未映射")</x:f>
        <x:v>L</x:v>
      </x:c>
      <x:c r="X48" s="10" t="str">
        <x:f>XLOOKUP(F48,'产品维表'!$A$2:$A$5,'产品维表'!$B$2:$B$5,"未映射")</x:f>
        <x:v>L2</x:v>
      </x:c>
      <x:c r="Y48" s="10" t="str">
        <x:f>XLOOKUP(G48,'渠道维表'!$A$2:$A$4,'渠道维表'!$B$2:$B$4,"未映射")</x:f>
        <x:v>线下零售</x:v>
      </x:c>
      <x:c r="Z48" s="10" t="str">
        <x:f>XLOOKUP(H48,'区域维表'!$A$2:$A$5,'区域维表'!$B$2:$B$5,"未映射")</x:f>
        <x:v>华南</x:v>
      </x:c>
      <x:c r="AA48" s="10" t="n">
        <x:f>XLOOKUP(B48,'日期维表'!$A$2:$A$43,'日期维表'!$F$2:$F$43,0)</x:f>
        <x:v>6</x:v>
      </x:c>
    </x:row>
    <x:row r="49" ht="15" hidden="0" customHeight="1">
      <x:c r="A49" s="10" t="str">
        <x:v>SO00048</x:v>
      </x:c>
      <x:c r="B49" s="10" t="n">
        <x:v>202306</x:v>
      </x:c>
      <x:c r="C49" s="10" t="n">
        <x:v>45092</x:v>
      </x:c>
      <x:c r="D49" s="10" t="n">
        <x:v>45099</x:v>
      </x:c>
      <x:c r="E49" s="10" t="n">
        <x:v>45099</x:v>
      </x:c>
      <x:c r="F49" s="10" t="n">
        <x:v>101</x:v>
      </x:c>
      <x:c r="G49" s="10" t="n">
        <x:v>3</x:v>
      </x:c>
      <x:c r="H49" s="10" t="n">
        <x:v>2</x:v>
      </x:c>
      <x:c r="I49" s="10" t="n">
        <x:v>20</x:v>
      </x:c>
      <x:c r="J49" s="10" t="n">
        <x:v>20</x:v>
      </x:c>
      <x:c r="K49" s="64" t="n">
        <x:v>2604.45</x:v>
      </x:c>
      <x:c r="L49" s="64" t="n">
        <x:v>57240.66</x:v>
      </x:c>
      <x:c r="M49" s="64" t="n">
        <x:v>5151.66</x:v>
      </x:c>
      <x:c r="N49" s="64" t="n">
        <x:v>52089</x:v>
      </x:c>
      <x:c r="O49" s="64" t="n">
        <x:v>1850.11</x:v>
      </x:c>
      <x:c r="P49" s="64" t="n">
        <x:v>37002.28</x:v>
      </x:c>
      <x:c r="Q49" s="64" t="n">
        <x:v>15086.72</x:v>
      </x:c>
      <x:c r="R49" s="10" t="n">
        <x:v>7</x:v>
      </x:c>
      <x:c r="S49" s="10" t="n">
        <x:v>1</x:v>
      </x:c>
      <x:c r="T49" s="10" t="n">
        <x:v>1</x:v>
      </x:c>
      <x:c r="U49" s="10" t="str">
        <x:v>Completed</x:v>
      </x:c>
      <x:c r="V49" s="10" t="n">
        <x:v>30</x:v>
      </x:c>
      <x:c r="W49" s="10" t="str">
        <x:f>XLOOKUP(F49,'产品维表'!$A$2:$A$5,'产品维表'!$D$2:$D$5,"未映射")</x:f>
        <x:v>L</x:v>
      </x:c>
      <x:c r="X49" s="10" t="str">
        <x:f>XLOOKUP(F49,'产品维表'!$A$2:$A$5,'产品维表'!$B$2:$B$5,"未映射")</x:f>
        <x:v>L1</x:v>
      </x:c>
      <x:c r="Y49" s="10" t="str">
        <x:f>XLOOKUP(G49,'渠道维表'!$A$2:$A$4,'渠道维表'!$B$2:$B$4,"未映射")</x:f>
        <x:v>区域经销</x:v>
      </x:c>
      <x:c r="Z49" s="10" t="str">
        <x:f>XLOOKUP(H49,'区域维表'!$A$2:$A$5,'区域维表'!$B$2:$B$5,"未映射")</x:f>
        <x:v>华南</x:v>
      </x:c>
      <x:c r="AA49" s="10" t="n">
        <x:f>XLOOKUP(B49,'日期维表'!$A$2:$A$43,'日期维表'!$F$2:$F$43,0)</x:f>
        <x:v>6</x:v>
      </x:c>
    </x:row>
    <x:row r="50" ht="15" hidden="0" customHeight="1">
      <x:c r="A50" s="10" t="str">
        <x:v>SO00049</x:v>
      </x:c>
      <x:c r="B50" s="10" t="n">
        <x:v>202310</x:v>
      </x:c>
      <x:c r="C50" s="10" t="n">
        <x:v>45207</x:v>
      </x:c>
      <x:c r="D50" s="10" t="n">
        <x:v>45216</x:v>
      </x:c>
      <x:c r="E50" s="10" t="n">
        <x:v>45216</x:v>
      </x:c>
      <x:c r="F50" s="10" t="n">
        <x:v>101</x:v>
      </x:c>
      <x:c r="G50" s="10" t="n">
        <x:v>2</x:v>
      </x:c>
      <x:c r="H50" s="10" t="n">
        <x:v>2</x:v>
      </x:c>
      <x:c r="I50" s="10" t="n">
        <x:v>40</x:v>
      </x:c>
      <x:c r="J50" s="10" t="n">
        <x:v>40</x:v>
      </x:c>
      <x:c r="K50" s="64" t="n">
        <x:v>2816.43</x:v>
      </x:c>
      <x:c r="L50" s="64" t="n">
        <x:v>116141.24</x:v>
      </x:c>
      <x:c r="M50" s="64" t="n">
        <x:v>3484.24</x:v>
      </x:c>
      <x:c r="N50" s="64" t="n">
        <x:v>112657</x:v>
      </x:c>
      <x:c r="O50" s="64" t="n">
        <x:v>1852.83</x:v>
      </x:c>
      <x:c r="P50" s="64" t="n">
        <x:v>74113.2</x:v>
      </x:c>
      <x:c r="Q50" s="64" t="n">
        <x:v>38543.8</x:v>
      </x:c>
      <x:c r="R50" s="10" t="n">
        <x:v>9</x:v>
      </x:c>
      <x:c r="S50" s="10" t="n">
        <x:v>1</x:v>
      </x:c>
      <x:c r="T50" s="10" t="n">
        <x:v>1</x:v>
      </x:c>
      <x:c r="U50" s="10" t="str">
        <x:v>Completed</x:v>
      </x:c>
      <x:c r="V50" s="10" t="n">
        <x:v>15</x:v>
      </x:c>
      <x:c r="W50" s="10" t="str">
        <x:f>XLOOKUP(F50,'产品维表'!$A$2:$A$5,'产品维表'!$D$2:$D$5,"未映射")</x:f>
        <x:v>L</x:v>
      </x:c>
      <x:c r="X50" s="10" t="str">
        <x:f>XLOOKUP(F50,'产品维表'!$A$2:$A$5,'产品维表'!$B$2:$B$5,"未映射")</x:f>
        <x:v>L1</x:v>
      </x:c>
      <x:c r="Y50" s="10" t="str">
        <x:f>XLOOKUP(G50,'渠道维表'!$A$2:$A$4,'渠道维表'!$B$2:$B$4,"未映射")</x:f>
        <x:v>线下零售</x:v>
      </x:c>
      <x:c r="Z50" s="10" t="str">
        <x:f>XLOOKUP(H50,'区域维表'!$A$2:$A$5,'区域维表'!$B$2:$B$5,"未映射")</x:f>
        <x:v>华南</x:v>
      </x:c>
      <x:c r="AA50" s="10" t="n">
        <x:f>XLOOKUP(B50,'日期维表'!$A$2:$A$43,'日期维表'!$F$2:$F$43,0)</x:f>
        <x:v>8</x:v>
      </x:c>
    </x:row>
    <x:row r="51" ht="15" hidden="0" customHeight="1">
      <x:c r="A51" s="10" t="str">
        <x:v>SO00050</x:v>
      </x:c>
      <x:c r="B51" s="10" t="n">
        <x:v>202310</x:v>
      </x:c>
      <x:c r="C51" s="10" t="n">
        <x:v>45209</x:v>
      </x:c>
      <x:c r="D51" s="10" t="n">
        <x:v>45216</x:v>
      </x:c>
      <x:c r="E51" s="10" t="n">
        <x:v>45216</x:v>
      </x:c>
      <x:c r="F51" s="10" t="n">
        <x:v>101</x:v>
      </x:c>
      <x:c r="G51" s="10" t="n">
        <x:v>3</x:v>
      </x:c>
      <x:c r="H51" s="10" t="n">
        <x:v>3</x:v>
      </x:c>
      <x:c r="I51" s="10" t="n">
        <x:v>25</x:v>
      </x:c>
      <x:c r="J51" s="10" t="n">
        <x:v>25</x:v>
      </x:c>
      <x:c r="K51" s="64" t="n">
        <x:v>2832.92</x:v>
      </x:c>
      <x:c r="L51" s="64" t="n">
        <x:v>77827.47</x:v>
      </x:c>
      <x:c r="M51" s="64" t="n">
        <x:v>7004.47</x:v>
      </x:c>
      <x:c r="N51" s="64" t="n">
        <x:v>70823</x:v>
      </x:c>
      <x:c r="O51" s="64" t="n">
        <x:v>1857.91</x:v>
      </x:c>
      <x:c r="P51" s="64" t="n">
        <x:v>46447.84</x:v>
      </x:c>
      <x:c r="Q51" s="64" t="n">
        <x:v>24375.16</x:v>
      </x:c>
      <x:c r="R51" s="10" t="n">
        <x:v>7</x:v>
      </x:c>
      <x:c r="S51" s="10" t="n">
        <x:v>1</x:v>
      </x:c>
      <x:c r="T51" s="10" t="n">
        <x:v>1</x:v>
      </x:c>
      <x:c r="U51" s="10" t="str">
        <x:v>Completed</x:v>
      </x:c>
      <x:c r="V51" s="10" t="n">
        <x:v>30</x:v>
      </x:c>
      <x:c r="W51" s="10" t="str">
        <x:f>XLOOKUP(F51,'产品维表'!$A$2:$A$5,'产品维表'!$D$2:$D$5,"未映射")</x:f>
        <x:v>L</x:v>
      </x:c>
      <x:c r="X51" s="10" t="str">
        <x:f>XLOOKUP(F51,'产品维表'!$A$2:$A$5,'产品维表'!$B$2:$B$5,"未映射")</x:f>
        <x:v>L1</x:v>
      </x:c>
      <x:c r="Y51" s="10" t="str">
        <x:f>XLOOKUP(G51,'渠道维表'!$A$2:$A$4,'渠道维表'!$B$2:$B$4,"未映射")</x:f>
        <x:v>区域经销</x:v>
      </x:c>
      <x:c r="Z51" s="10" t="str">
        <x:f>XLOOKUP(H51,'区域维表'!$A$2:$A$5,'区域维表'!$B$2:$B$5,"未映射")</x:f>
        <x:v>华北</x:v>
      </x:c>
      <x:c r="AA51" s="10" t="n">
        <x:f>XLOOKUP(B51,'日期维表'!$A$2:$A$43,'日期维表'!$F$2:$F$43,0)</x:f>
        <x:v>8</x:v>
      </x:c>
    </x:row>
    <x:row r="52" ht="15" hidden="0" customHeight="1">
      <x:c r="A52" s="10" t="str">
        <x:v>SO00051</x:v>
      </x:c>
      <x:c r="B52" s="10" t="n">
        <x:v>202310</x:v>
      </x:c>
      <x:c r="C52" s="10" t="n">
        <x:v>45212</x:v>
      </x:c>
      <x:c r="D52" s="10" t="n">
        <x:v>45221</x:v>
      </x:c>
      <x:c r="E52" s="10" t="n">
        <x:v>45221</x:v>
      </x:c>
      <x:c r="F52" s="10" t="n">
        <x:v>101</x:v>
      </x:c>
      <x:c r="G52" s="10" t="n">
        <x:v>3</x:v>
      </x:c>
      <x:c r="H52" s="10" t="n">
        <x:v>1</x:v>
      </x:c>
      <x:c r="I52" s="10" t="n">
        <x:v>26</x:v>
      </x:c>
      <x:c r="J52" s="10" t="n">
        <x:v>26</x:v>
      </x:c>
      <x:c r="K52" s="64" t="n">
        <x:v>2788.62</x:v>
      </x:c>
      <x:c r="L52" s="64" t="n">
        <x:v>79674.73</x:v>
      </x:c>
      <x:c r="M52" s="64" t="n">
        <x:v>7170.73</x:v>
      </x:c>
      <x:c r="N52" s="64" t="n">
        <x:v>72504</x:v>
      </x:c>
      <x:c r="O52" s="64" t="n">
        <x:v>1836.22</x:v>
      </x:c>
      <x:c r="P52" s="64" t="n">
        <x:v>47741.61</x:v>
      </x:c>
      <x:c r="Q52" s="64" t="n">
        <x:v>24762.39</x:v>
      </x:c>
      <x:c r="R52" s="10" t="n">
        <x:v>9</x:v>
      </x:c>
      <x:c r="S52" s="10" t="n">
        <x:v>1</x:v>
      </x:c>
      <x:c r="T52" s="10" t="n">
        <x:v>1</x:v>
      </x:c>
      <x:c r="U52" s="10" t="str">
        <x:v>Completed</x:v>
      </x:c>
      <x:c r="V52" s="10" t="n">
        <x:v>30</x:v>
      </x:c>
      <x:c r="W52" s="10" t="str">
        <x:f>XLOOKUP(F52,'产品维表'!$A$2:$A$5,'产品维表'!$D$2:$D$5,"未映射")</x:f>
        <x:v>L</x:v>
      </x:c>
      <x:c r="X52" s="10" t="str">
        <x:f>XLOOKUP(F52,'产品维表'!$A$2:$A$5,'产品维表'!$B$2:$B$5,"未映射")</x:f>
        <x:v>L1</x:v>
      </x:c>
      <x:c r="Y52" s="10" t="str">
        <x:f>XLOOKUP(G52,'渠道维表'!$A$2:$A$4,'渠道维表'!$B$2:$B$4,"未映射")</x:f>
        <x:v>区域经销</x:v>
      </x:c>
      <x:c r="Z52" s="10" t="str">
        <x:f>XLOOKUP(H52,'区域维表'!$A$2:$A$5,'区域维表'!$B$2:$B$5,"未映射")</x:f>
        <x:v>华东</x:v>
      </x:c>
      <x:c r="AA52" s="10" t="n">
        <x:f>XLOOKUP(B52,'日期维表'!$A$2:$A$43,'日期维表'!$F$2:$F$43,0)</x:f>
        <x:v>8</x:v>
      </x:c>
    </x:row>
    <x:row r="53" ht="15" hidden="0" customHeight="1">
      <x:c r="A53" s="10" t="str">
        <x:v>SO00052</x:v>
      </x:c>
      <x:c r="B53" s="10" t="n">
        <x:v>202310</x:v>
      </x:c>
      <x:c r="C53" s="10" t="n">
        <x:v>45220</x:v>
      </x:c>
      <x:c r="D53" s="10" t="n">
        <x:v>45228</x:v>
      </x:c>
      <x:c r="E53" s="10" t="n">
        <x:v>45228</x:v>
      </x:c>
      <x:c r="F53" s="10" t="n">
        <x:v>101</x:v>
      </x:c>
      <x:c r="G53" s="10" t="n">
        <x:v>3</x:v>
      </x:c>
      <x:c r="H53" s="10" t="n">
        <x:v>2</x:v>
      </x:c>
      <x:c r="I53" s="10" t="n">
        <x:v>20</x:v>
      </x:c>
      <x:c r="J53" s="10" t="n">
        <x:v>20</x:v>
      </x:c>
      <x:c r="K53" s="64" t="n">
        <x:v>2771.2</x:v>
      </x:c>
      <x:c r="L53" s="64" t="n">
        <x:v>60905.49</x:v>
      </x:c>
      <x:c r="M53" s="64" t="n">
        <x:v>5481.49</x:v>
      </x:c>
      <x:c r="N53" s="64" t="n">
        <x:v>55424</x:v>
      </x:c>
      <x:c r="O53" s="64" t="n">
        <x:v>1862.15</x:v>
      </x:c>
      <x:c r="P53" s="64" t="n">
        <x:v>37242.98</x:v>
      </x:c>
      <x:c r="Q53" s="64" t="n">
        <x:v>18181.02</x:v>
      </x:c>
      <x:c r="R53" s="10" t="n">
        <x:v>8</x:v>
      </x:c>
      <x:c r="S53" s="10" t="n">
        <x:v>1</x:v>
      </x:c>
      <x:c r="T53" s="10" t="n">
        <x:v>1</x:v>
      </x:c>
      <x:c r="U53" s="10" t="str">
        <x:v>Completed</x:v>
      </x:c>
      <x:c r="V53" s="10" t="n">
        <x:v>30</x:v>
      </x:c>
      <x:c r="W53" s="10" t="str">
        <x:f>XLOOKUP(F53,'产品维表'!$A$2:$A$5,'产品维表'!$D$2:$D$5,"未映射")</x:f>
        <x:v>L</x:v>
      </x:c>
      <x:c r="X53" s="10" t="str">
        <x:f>XLOOKUP(F53,'产品维表'!$A$2:$A$5,'产品维表'!$B$2:$B$5,"未映射")</x:f>
        <x:v>L1</x:v>
      </x:c>
      <x:c r="Y53" s="10" t="str">
        <x:f>XLOOKUP(G53,'渠道维表'!$A$2:$A$4,'渠道维表'!$B$2:$B$4,"未映射")</x:f>
        <x:v>区域经销</x:v>
      </x:c>
      <x:c r="Z53" s="10" t="str">
        <x:f>XLOOKUP(H53,'区域维表'!$A$2:$A$5,'区域维表'!$B$2:$B$5,"未映射")</x:f>
        <x:v>华南</x:v>
      </x:c>
      <x:c r="AA53" s="10" t="n">
        <x:f>XLOOKUP(B53,'日期维表'!$A$2:$A$43,'日期维表'!$F$2:$F$43,0)</x:f>
        <x:v>8</x:v>
      </x:c>
    </x:row>
    <x:row r="54" ht="15" hidden="0" customHeight="1">
      <x:c r="A54" s="10" t="str">
        <x:v>SO00053</x:v>
      </x:c>
      <x:c r="B54" s="10" t="n">
        <x:v>202310</x:v>
      </x:c>
      <x:c r="C54" s="10" t="n">
        <x:v>45221</x:v>
      </x:c>
      <x:c r="D54" s="10" t="n">
        <x:v>45229</x:v>
      </x:c>
      <x:c r="E54" s="10" t="n">
        <x:v>45234</x:v>
      </x:c>
      <x:c r="F54" s="10" t="n">
        <x:v>102</x:v>
      </x:c>
      <x:c r="G54" s="10" t="n">
        <x:v>1</x:v>
      </x:c>
      <x:c r="H54" s="10" t="n">
        <x:v>1</x:v>
      </x:c>
      <x:c r="I54" s="10" t="n">
        <x:v>32</x:v>
      </x:c>
      <x:c r="J54" s="10" t="n">
        <x:v>32</x:v>
      </x:c>
      <x:c r="K54" s="64" t="n">
        <x:v>2901.25</x:v>
      </x:c>
      <x:c r="L54" s="64" t="n">
        <x:v>92840</x:v>
      </x:c>
      <x:c r="M54" s="64" t="n">
        <x:v>0</x:v>
      </x:c>
      <x:c r="N54" s="64" t="n">
        <x:v>92840</x:v>
      </x:c>
      <x:c r="O54" s="64" t="n">
        <x:v>2241.34</x:v>
      </x:c>
      <x:c r="P54" s="64" t="n">
        <x:v>71722.85</x:v>
      </x:c>
      <x:c r="Q54" s="64" t="n">
        <x:v>21117.15</x:v>
      </x:c>
      <x:c r="R54" s="10" t="n">
        <x:v>13</x:v>
      </x:c>
      <x:c r="S54" s="10" t="n">
        <x:v>0</x:v>
      </x:c>
      <x:c r="T54" s="10" t="n">
        <x:v>1</x:v>
      </x:c>
      <x:c r="U54" s="10" t="str">
        <x:v>Completed</x:v>
      </x:c>
      <x:c r="V54" s="10" t="n">
        <x:v>0</x:v>
      </x:c>
      <x:c r="W54" s="10" t="str">
        <x:f>XLOOKUP(F54,'产品维表'!$A$2:$A$5,'产品维表'!$D$2:$D$5,"未映射")</x:f>
        <x:v>L</x:v>
      </x:c>
      <x:c r="X54" s="10" t="str">
        <x:f>XLOOKUP(F54,'产品维表'!$A$2:$A$5,'产品维表'!$B$2:$B$5,"未映射")</x:f>
        <x:v>L2</x:v>
      </x:c>
      <x:c r="Y54" s="10" t="str">
        <x:f>XLOOKUP(G54,'渠道维表'!$A$2:$A$4,'渠道维表'!$B$2:$B$4,"未映射")</x:f>
        <x:v>线上直营</x:v>
      </x:c>
      <x:c r="Z54" s="10" t="str">
        <x:f>XLOOKUP(H54,'区域维表'!$A$2:$A$5,'区域维表'!$B$2:$B$5,"未映射")</x:f>
        <x:v>华东</x:v>
      </x:c>
      <x:c r="AA54" s="10" t="n">
        <x:f>XLOOKUP(B54,'日期维表'!$A$2:$A$43,'日期维表'!$F$2:$F$43,0)</x:f>
        <x:v>8</x:v>
      </x:c>
    </x:row>
    <x:row r="55" ht="15" hidden="0" customHeight="1">
      <x:c r="A55" s="10" t="str">
        <x:v>SO00054</x:v>
      </x:c>
      <x:c r="B55" s="10" t="n">
        <x:v>202310</x:v>
      </x:c>
      <x:c r="C55" s="10" t="n">
        <x:v>45223</x:v>
      </x:c>
      <x:c r="D55" s="10" t="n">
        <x:v>45232</x:v>
      </x:c>
      <x:c r="E55" s="10" t="n">
        <x:v>45232</x:v>
      </x:c>
      <x:c r="F55" s="10" t="n">
        <x:v>101</x:v>
      </x:c>
      <x:c r="G55" s="10" t="n">
        <x:v>2</x:v>
      </x:c>
      <x:c r="H55" s="10" t="n">
        <x:v>3</x:v>
      </x:c>
      <x:c r="I55" s="10" t="n">
        <x:v>52</x:v>
      </x:c>
      <x:c r="J55" s="10" t="n">
        <x:v>52</x:v>
      </x:c>
      <x:c r="K55" s="64" t="n">
        <x:v>2615.9</x:v>
      </x:c>
      <x:c r="L55" s="64" t="n">
        <x:v>140234.02</x:v>
      </x:c>
      <x:c r="M55" s="64" t="n">
        <x:v>4207.02</x:v>
      </x:c>
      <x:c r="N55" s="64" t="n">
        <x:v>136027</x:v>
      </x:c>
      <x:c r="O55" s="64" t="n">
        <x:v>1842.43</x:v>
      </x:c>
      <x:c r="P55" s="64" t="n">
        <x:v>95806.2</x:v>
      </x:c>
      <x:c r="Q55" s="64" t="n">
        <x:v>40220.8</x:v>
      </x:c>
      <x:c r="R55" s="10" t="n">
        <x:v>9</x:v>
      </x:c>
      <x:c r="S55" s="10" t="n">
        <x:v>1</x:v>
      </x:c>
      <x:c r="T55" s="10" t="n">
        <x:v>1</x:v>
      </x:c>
      <x:c r="U55" s="10" t="str">
        <x:v>Completed</x:v>
      </x:c>
      <x:c r="V55" s="10" t="n">
        <x:v>15</x:v>
      </x:c>
      <x:c r="W55" s="10" t="str">
        <x:f>XLOOKUP(F55,'产品维表'!$A$2:$A$5,'产品维表'!$D$2:$D$5,"未映射")</x:f>
        <x:v>L</x:v>
      </x:c>
      <x:c r="X55" s="10" t="str">
        <x:f>XLOOKUP(F55,'产品维表'!$A$2:$A$5,'产品维表'!$B$2:$B$5,"未映射")</x:f>
        <x:v>L1</x:v>
      </x:c>
      <x:c r="Y55" s="10" t="str">
        <x:f>XLOOKUP(G55,'渠道维表'!$A$2:$A$4,'渠道维表'!$B$2:$B$4,"未映射")</x:f>
        <x:v>线下零售</x:v>
      </x:c>
      <x:c r="Z55" s="10" t="str">
        <x:f>XLOOKUP(H55,'区域维表'!$A$2:$A$5,'区域维表'!$B$2:$B$5,"未映射")</x:f>
        <x:v>华北</x:v>
      </x:c>
      <x:c r="AA55" s="10" t="n">
        <x:f>XLOOKUP(B55,'日期维表'!$A$2:$A$43,'日期维表'!$F$2:$F$43,0)</x:f>
        <x:v>8</x:v>
      </x:c>
    </x:row>
    <x:row r="56" ht="15" hidden="0" customHeight="1">
      <x:c r="A56" s="10" t="str">
        <x:v>SO00055</x:v>
      </x:c>
      <x:c r="B56" s="10" t="n">
        <x:v>202310</x:v>
      </x:c>
      <x:c r="C56" s="10" t="n">
        <x:v>45221</x:v>
      </x:c>
      <x:c r="D56" s="10" t="n">
        <x:v>45227</x:v>
      </x:c>
      <x:c r="E56" s="10" t="n">
        <x:v>45227</x:v>
      </x:c>
      <x:c r="F56" s="10" t="n">
        <x:v>102</x:v>
      </x:c>
      <x:c r="G56" s="10" t="n">
        <x:v>3</x:v>
      </x:c>
      <x:c r="H56" s="10" t="n">
        <x:v>4</x:v>
      </x:c>
      <x:c r="I56" s="10" t="n">
        <x:v>24</x:v>
      </x:c>
      <x:c r="J56" s="10" t="n">
        <x:v>24</x:v>
      </x:c>
      <x:c r="K56" s="64" t="n">
        <x:v>2769.29</x:v>
      </x:c>
      <x:c r="L56" s="64" t="n">
        <x:v>73036.26</x:v>
      </x:c>
      <x:c r="M56" s="64" t="n">
        <x:v>6573.26</x:v>
      </x:c>
      <x:c r="N56" s="64" t="n">
        <x:v>66463</x:v>
      </x:c>
      <x:c r="O56" s="64" t="n">
        <x:v>2198.89</x:v>
      </x:c>
      <x:c r="P56" s="64" t="n">
        <x:v>52773.3</x:v>
      </x:c>
      <x:c r="Q56" s="64" t="n">
        <x:v>13689.7</x:v>
      </x:c>
      <x:c r="R56" s="10" t="n">
        <x:v>6</x:v>
      </x:c>
      <x:c r="S56" s="10" t="n">
        <x:v>1</x:v>
      </x:c>
      <x:c r="T56" s="10" t="n">
        <x:v>1</x:v>
      </x:c>
      <x:c r="U56" s="10" t="str">
        <x:v>Completed</x:v>
      </x:c>
      <x:c r="V56" s="10" t="n">
        <x:v>30</x:v>
      </x:c>
      <x:c r="W56" s="10" t="str">
        <x:f>XLOOKUP(F56,'产品维表'!$A$2:$A$5,'产品维表'!$D$2:$D$5,"未映射")</x:f>
        <x:v>L</x:v>
      </x:c>
      <x:c r="X56" s="10" t="str">
        <x:f>XLOOKUP(F56,'产品维表'!$A$2:$A$5,'产品维表'!$B$2:$B$5,"未映射")</x:f>
        <x:v>L2</x:v>
      </x:c>
      <x:c r="Y56" s="10" t="str">
        <x:f>XLOOKUP(G56,'渠道维表'!$A$2:$A$4,'渠道维表'!$B$2:$B$4,"未映射")</x:f>
        <x:v>区域经销</x:v>
      </x:c>
      <x:c r="Z56" s="10" t="str">
        <x:f>XLOOKUP(H56,'区域维表'!$A$2:$A$5,'区域维表'!$B$2:$B$5,"未映射")</x:f>
        <x:v>中西部</x:v>
      </x:c>
      <x:c r="AA56" s="10" t="n">
        <x:f>XLOOKUP(B56,'日期维表'!$A$2:$A$43,'日期维表'!$F$2:$F$43,0)</x:f>
        <x:v>8</x:v>
      </x:c>
    </x:row>
    <x:row r="57" ht="15" hidden="0" customHeight="1">
      <x:c r="A57" s="10" t="str">
        <x:v>SO00056</x:v>
      </x:c>
      <x:c r="B57" s="10" t="n">
        <x:v>202310</x:v>
      </x:c>
      <x:c r="C57" s="10" t="n">
        <x:v>45222</x:v>
      </x:c>
      <x:c r="D57" s="10" t="n">
        <x:v>45232</x:v>
      </x:c>
      <x:c r="E57" s="10" t="n">
        <x:v>45232</x:v>
      </x:c>
      <x:c r="F57" s="10" t="n">
        <x:v>101</x:v>
      </x:c>
      <x:c r="G57" s="10" t="n">
        <x:v>2</x:v>
      </x:c>
      <x:c r="H57" s="10" t="n">
        <x:v>1</x:v>
      </x:c>
      <x:c r="I57" s="10" t="n">
        <x:v>27</x:v>
      </x:c>
      <x:c r="J57" s="10" t="n">
        <x:v>27</x:v>
      </x:c>
      <x:c r="K57" s="64" t="n">
        <x:v>2597.07</x:v>
      </x:c>
      <x:c r="L57" s="64" t="n">
        <x:v>72289.69</x:v>
      </x:c>
      <x:c r="M57" s="64" t="n">
        <x:v>2168.69</x:v>
      </x:c>
      <x:c r="N57" s="64" t="n">
        <x:v>70121</x:v>
      </x:c>
      <x:c r="O57" s="64" t="n">
        <x:v>1842.5</x:v>
      </x:c>
      <x:c r="P57" s="64" t="n">
        <x:v>49747.51</x:v>
      </x:c>
      <x:c r="Q57" s="64" t="n">
        <x:v>20373.49</x:v>
      </x:c>
      <x:c r="R57" s="10" t="n">
        <x:v>10</x:v>
      </x:c>
      <x:c r="S57" s="10" t="n">
        <x:v>1</x:v>
      </x:c>
      <x:c r="T57" s="10" t="n">
        <x:v>1</x:v>
      </x:c>
      <x:c r="U57" s="10" t="str">
        <x:v>Completed</x:v>
      </x:c>
      <x:c r="V57" s="10" t="n">
        <x:v>15</x:v>
      </x:c>
      <x:c r="W57" s="10" t="str">
        <x:f>XLOOKUP(F57,'产品维表'!$A$2:$A$5,'产品维表'!$D$2:$D$5,"未映射")</x:f>
        <x:v>L</x:v>
      </x:c>
      <x:c r="X57" s="10" t="str">
        <x:f>XLOOKUP(F57,'产品维表'!$A$2:$A$5,'产品维表'!$B$2:$B$5,"未映射")</x:f>
        <x:v>L1</x:v>
      </x:c>
      <x:c r="Y57" s="10" t="str">
        <x:f>XLOOKUP(G57,'渠道维表'!$A$2:$A$4,'渠道维表'!$B$2:$B$4,"未映射")</x:f>
        <x:v>线下零售</x:v>
      </x:c>
      <x:c r="Z57" s="10" t="str">
        <x:f>XLOOKUP(H57,'区域维表'!$A$2:$A$5,'区域维表'!$B$2:$B$5,"未映射")</x:f>
        <x:v>华东</x:v>
      </x:c>
      <x:c r="AA57" s="10" t="n">
        <x:f>XLOOKUP(B57,'日期维表'!$A$2:$A$43,'日期维表'!$F$2:$F$43,0)</x:f>
        <x:v>8</x:v>
      </x:c>
    </x:row>
    <x:row r="58" ht="15" hidden="0" customHeight="1">
      <x:c r="A58" s="10" t="str">
        <x:v>SO00057</x:v>
      </x:c>
      <x:c r="B58" s="10" t="n">
        <x:v>202311</x:v>
      </x:c>
      <x:c r="C58" s="10" t="n">
        <x:v>45241</x:v>
      </x:c>
      <x:c r="D58" s="10" t="n">
        <x:v>45250</x:v>
      </x:c>
      <x:c r="E58" s="10" t="n">
        <x:v>45250</x:v>
      </x:c>
      <x:c r="F58" s="10" t="n">
        <x:v>101</x:v>
      </x:c>
      <x:c r="G58" s="10" t="n">
        <x:v>3</x:v>
      </x:c>
      <x:c r="H58" s="10" t="n">
        <x:v>4</x:v>
      </x:c>
      <x:c r="I58" s="10" t="n">
        <x:v>26</x:v>
      </x:c>
      <x:c r="J58" s="10" t="n">
        <x:v>26</x:v>
      </x:c>
      <x:c r="K58" s="64" t="n">
        <x:v>2659.31</x:v>
      </x:c>
      <x:c r="L58" s="64" t="n">
        <x:v>75980.22</x:v>
      </x:c>
      <x:c r="M58" s="64" t="n">
        <x:v>6838.22</x:v>
      </x:c>
      <x:c r="N58" s="64" t="n">
        <x:v>69142</x:v>
      </x:c>
      <x:c r="O58" s="64" t="n">
        <x:v>1805.98</x:v>
      </x:c>
      <x:c r="P58" s="64" t="n">
        <x:v>46955.6</x:v>
      </x:c>
      <x:c r="Q58" s="64" t="n">
        <x:v>22186.4</x:v>
      </x:c>
      <x:c r="R58" s="10" t="n">
        <x:v>9</x:v>
      </x:c>
      <x:c r="S58" s="10" t="n">
        <x:v>1</x:v>
      </x:c>
      <x:c r="T58" s="10" t="n">
        <x:v>1</x:v>
      </x:c>
      <x:c r="U58" s="10" t="str">
        <x:v>Completed</x:v>
      </x:c>
      <x:c r="V58" s="10" t="n">
        <x:v>30</x:v>
      </x:c>
      <x:c r="W58" s="10" t="str">
        <x:f>XLOOKUP(F58,'产品维表'!$A$2:$A$5,'产品维表'!$D$2:$D$5,"未映射")</x:f>
        <x:v>L</x:v>
      </x:c>
      <x:c r="X58" s="10" t="str">
        <x:f>XLOOKUP(F58,'产品维表'!$A$2:$A$5,'产品维表'!$B$2:$B$5,"未映射")</x:f>
        <x:v>L1</x:v>
      </x:c>
      <x:c r="Y58" s="10" t="str">
        <x:f>XLOOKUP(G58,'渠道维表'!$A$2:$A$4,'渠道维表'!$B$2:$B$4,"未映射")</x:f>
        <x:v>区域经销</x:v>
      </x:c>
      <x:c r="Z58" s="10" t="str">
        <x:f>XLOOKUP(H58,'区域维表'!$A$2:$A$5,'区域维表'!$B$2:$B$5,"未映射")</x:f>
        <x:v>中西部</x:v>
      </x:c>
      <x:c r="AA58" s="10" t="n">
        <x:f>XLOOKUP(B58,'日期维表'!$A$2:$A$43,'日期维表'!$F$2:$F$43,0)</x:f>
        <x:v>8</x:v>
      </x:c>
    </x:row>
    <x:row r="59" ht="15" hidden="0" customHeight="1">
      <x:c r="A59" s="10" t="str">
        <x:v>SO00058</x:v>
      </x:c>
      <x:c r="B59" s="10" t="n">
        <x:v>202311</x:v>
      </x:c>
      <x:c r="C59" s="10" t="n">
        <x:v>45253</x:v>
      </x:c>
      <x:c r="D59" s="10" t="n">
        <x:v>45259</x:v>
      </x:c>
      <x:c r="E59" s="10" t="n">
        <x:v>45259</x:v>
      </x:c>
      <x:c r="F59" s="10" t="n">
        <x:v>102</x:v>
      </x:c>
      <x:c r="G59" s="10" t="n">
        <x:v>2</x:v>
      </x:c>
      <x:c r="H59" s="10" t="n">
        <x:v>1</x:v>
      </x:c>
      <x:c r="I59" s="10" t="n">
        <x:v>31</x:v>
      </x:c>
      <x:c r="J59" s="10" t="n">
        <x:v>31</x:v>
      </x:c>
      <x:c r="K59" s="64" t="n">
        <x:v>2589.29</x:v>
      </x:c>
      <x:c r="L59" s="64" t="n">
        <x:v>82750.52</x:v>
      </x:c>
      <x:c r="M59" s="64" t="n">
        <x:v>2482.52</x:v>
      </x:c>
      <x:c r="N59" s="64" t="n">
        <x:v>80268</x:v>
      </x:c>
      <x:c r="O59" s="64" t="n">
        <x:v>1751.52</x:v>
      </x:c>
      <x:c r="P59" s="64" t="n">
        <x:v>54297.1</x:v>
      </x:c>
      <x:c r="Q59" s="64" t="n">
        <x:v>25970.9</x:v>
      </x:c>
      <x:c r="R59" s="10" t="n">
        <x:v>6</x:v>
      </x:c>
      <x:c r="S59" s="10" t="n">
        <x:v>1</x:v>
      </x:c>
      <x:c r="T59" s="10" t="n">
        <x:v>1</x:v>
      </x:c>
      <x:c r="U59" s="10" t="str">
        <x:v>Completed</x:v>
      </x:c>
      <x:c r="V59" s="10" t="n">
        <x:v>15</x:v>
      </x:c>
      <x:c r="W59" s="10" t="str">
        <x:f>XLOOKUP(F59,'产品维表'!$A$2:$A$5,'产品维表'!$D$2:$D$5,"未映射")</x:f>
        <x:v>L</x:v>
      </x:c>
      <x:c r="X59" s="10" t="str">
        <x:f>XLOOKUP(F59,'产品维表'!$A$2:$A$5,'产品维表'!$B$2:$B$5,"未映射")</x:f>
        <x:v>L2</x:v>
      </x:c>
      <x:c r="Y59" s="10" t="str">
        <x:f>XLOOKUP(G59,'渠道维表'!$A$2:$A$4,'渠道维表'!$B$2:$B$4,"未映射")</x:f>
        <x:v>线下零售</x:v>
      </x:c>
      <x:c r="Z59" s="10" t="str">
        <x:f>XLOOKUP(H59,'区域维表'!$A$2:$A$5,'区域维表'!$B$2:$B$5,"未映射")</x:f>
        <x:v>华东</x:v>
      </x:c>
      <x:c r="AA59" s="10" t="n">
        <x:f>XLOOKUP(B59,'日期维表'!$A$2:$A$43,'日期维表'!$F$2:$F$43,0)</x:f>
        <x:v>8</x:v>
      </x:c>
    </x:row>
    <x:row r="60" ht="15" hidden="0" customHeight="1">
      <x:c r="A60" s="10" t="str">
        <x:v>SO00059</x:v>
      </x:c>
      <x:c r="B60" s="10" t="n">
        <x:v>202311</x:v>
      </x:c>
      <x:c r="C60" s="10" t="n">
        <x:v>45246</x:v>
      </x:c>
      <x:c r="D60" s="10" t="n">
        <x:v>45252</x:v>
      </x:c>
      <x:c r="E60" s="10" t="n">
        <x:v>45252</x:v>
      </x:c>
      <x:c r="F60" s="10" t="n">
        <x:v>101</x:v>
      </x:c>
      <x:c r="G60" s="10" t="n">
        <x:v>3</x:v>
      </x:c>
      <x:c r="H60" s="10" t="n">
        <x:v>3</x:v>
      </x:c>
      <x:c r="I60" s="10" t="n">
        <x:v>58</x:v>
      </x:c>
      <x:c r="J60" s="10" t="n">
        <x:v>58</x:v>
      </x:c>
      <x:c r="K60" s="64" t="n">
        <x:v>2828.05</x:v>
      </x:c>
      <x:c r="L60" s="64" t="n">
        <x:v>180249.45</x:v>
      </x:c>
      <x:c r="M60" s="64" t="n">
        <x:v>16222.45</x:v>
      </x:c>
      <x:c r="N60" s="64" t="n">
        <x:v>164027</x:v>
      </x:c>
      <x:c r="O60" s="64" t="n">
        <x:v>1809.93</x:v>
      </x:c>
      <x:c r="P60" s="64" t="n">
        <x:v>104976.15</x:v>
      </x:c>
      <x:c r="Q60" s="64" t="n">
        <x:v>59050.85</x:v>
      </x:c>
      <x:c r="R60" s="10" t="n">
        <x:v>6</x:v>
      </x:c>
      <x:c r="S60" s="10" t="n">
        <x:v>1</x:v>
      </x:c>
      <x:c r="T60" s="10" t="n">
        <x:v>1</x:v>
      </x:c>
      <x:c r="U60" s="10" t="str">
        <x:v>Completed</x:v>
      </x:c>
      <x:c r="V60" s="10" t="n">
        <x:v>30</x:v>
      </x:c>
      <x:c r="W60" s="10" t="str">
        <x:f>XLOOKUP(F60,'产品维表'!$A$2:$A$5,'产品维表'!$D$2:$D$5,"未映射")</x:f>
        <x:v>L</x:v>
      </x:c>
      <x:c r="X60" s="10" t="str">
        <x:f>XLOOKUP(F60,'产品维表'!$A$2:$A$5,'产品维表'!$B$2:$B$5,"未映射")</x:f>
        <x:v>L1</x:v>
      </x:c>
      <x:c r="Y60" s="10" t="str">
        <x:f>XLOOKUP(G60,'渠道维表'!$A$2:$A$4,'渠道维表'!$B$2:$B$4,"未映射")</x:f>
        <x:v>区域经销</x:v>
      </x:c>
      <x:c r="Z60" s="10" t="str">
        <x:f>XLOOKUP(H60,'区域维表'!$A$2:$A$5,'区域维表'!$B$2:$B$5,"未映射")</x:f>
        <x:v>华北</x:v>
      </x:c>
      <x:c r="AA60" s="10" t="n">
        <x:f>XLOOKUP(B60,'日期维表'!$A$2:$A$43,'日期维表'!$F$2:$F$43,0)</x:f>
        <x:v>8</x:v>
      </x:c>
    </x:row>
    <x:row r="61" ht="15" hidden="0" customHeight="1">
      <x:c r="A61" s="10" t="str">
        <x:v>SO00060</x:v>
      </x:c>
      <x:c r="B61" s="10" t="n">
        <x:v>202311</x:v>
      </x:c>
      <x:c r="C61" s="10" t="n">
        <x:v>45238</x:v>
      </x:c>
      <x:c r="D61" s="10" t="n">
        <x:v>45246</x:v>
      </x:c>
      <x:c r="E61" s="10" t="n">
        <x:v>45246</x:v>
      </x:c>
      <x:c r="F61" s="10" t="n">
        <x:v>101</x:v>
      </x:c>
      <x:c r="G61" s="10" t="n">
        <x:v>2</x:v>
      </x:c>
      <x:c r="H61" s="10" t="n">
        <x:v>1</x:v>
      </x:c>
      <x:c r="I61" s="10" t="n">
        <x:v>32</x:v>
      </x:c>
      <x:c r="J61" s="10" t="n">
        <x:v>32</x:v>
      </x:c>
      <x:c r="K61" s="64" t="n">
        <x:v>2832.56</x:v>
      </x:c>
      <x:c r="L61" s="64" t="n">
        <x:v>93445.36</x:v>
      </x:c>
      <x:c r="M61" s="64" t="n">
        <x:v>2803.36</x:v>
      </x:c>
      <x:c r="N61" s="64" t="n">
        <x:v>90642</x:v>
      </x:c>
      <x:c r="O61" s="64" t="n">
        <x:v>1808.78</x:v>
      </x:c>
      <x:c r="P61" s="64" t="n">
        <x:v>57880.84</x:v>
      </x:c>
      <x:c r="Q61" s="64" t="n">
        <x:v>32761.16</x:v>
      </x:c>
      <x:c r="R61" s="10" t="n">
        <x:v>8</x:v>
      </x:c>
      <x:c r="S61" s="10" t="n">
        <x:v>1</x:v>
      </x:c>
      <x:c r="T61" s="10" t="n">
        <x:v>1</x:v>
      </x:c>
      <x:c r="U61" s="10" t="str">
        <x:v>Completed</x:v>
      </x:c>
      <x:c r="V61" s="10" t="n">
        <x:v>15</x:v>
      </x:c>
      <x:c r="W61" s="10" t="str">
        <x:f>XLOOKUP(F61,'产品维表'!$A$2:$A$5,'产品维表'!$D$2:$D$5,"未映射")</x:f>
        <x:v>L</x:v>
      </x:c>
      <x:c r="X61" s="10" t="str">
        <x:f>XLOOKUP(F61,'产品维表'!$A$2:$A$5,'产品维表'!$B$2:$B$5,"未映射")</x:f>
        <x:v>L1</x:v>
      </x:c>
      <x:c r="Y61" s="10" t="str">
        <x:f>XLOOKUP(G61,'渠道维表'!$A$2:$A$4,'渠道维表'!$B$2:$B$4,"未映射")</x:f>
        <x:v>线下零售</x:v>
      </x:c>
      <x:c r="Z61" s="10" t="str">
        <x:f>XLOOKUP(H61,'区域维表'!$A$2:$A$5,'区域维表'!$B$2:$B$5,"未映射")</x:f>
        <x:v>华东</x:v>
      </x:c>
      <x:c r="AA61" s="10" t="n">
        <x:f>XLOOKUP(B61,'日期维表'!$A$2:$A$43,'日期维表'!$F$2:$F$43,0)</x:f>
        <x:v>8</x:v>
      </x:c>
    </x:row>
    <x:row r="62" ht="15" hidden="0" customHeight="1">
      <x:c r="A62" s="10" t="str">
        <x:v>SO00061</x:v>
      </x:c>
      <x:c r="B62" s="10" t="n">
        <x:v>202311</x:v>
      </x:c>
      <x:c r="C62" s="10" t="n">
        <x:v>45238</x:v>
      </x:c>
      <x:c r="D62" s="10" t="n">
        <x:v>45245</x:v>
      </x:c>
      <x:c r="E62" s="10" t="n">
        <x:v>45245</x:v>
      </x:c>
      <x:c r="F62" s="10" t="n">
        <x:v>102</x:v>
      </x:c>
      <x:c r="G62" s="10" t="n">
        <x:v>3</x:v>
      </x:c>
      <x:c r="H62" s="10" t="n">
        <x:v>2</x:v>
      </x:c>
      <x:c r="I62" s="10" t="n">
        <x:v>29</x:v>
      </x:c>
      <x:c r="J62" s="10" t="n">
        <x:v>29</x:v>
      </x:c>
      <x:c r="K62" s="64" t="n">
        <x:v>2664.41</x:v>
      </x:c>
      <x:c r="L62" s="64" t="n">
        <x:v>84909.89</x:v>
      </x:c>
      <x:c r="M62" s="64" t="n">
        <x:v>7641.89</x:v>
      </x:c>
      <x:c r="N62" s="64" t="n">
        <x:v>77268</x:v>
      </x:c>
      <x:c r="O62" s="64" t="n">
        <x:v>2230.61</x:v>
      </x:c>
      <x:c r="P62" s="64" t="n">
        <x:v>64687.59</x:v>
      </x:c>
      <x:c r="Q62" s="64" t="n">
        <x:v>12580.41</x:v>
      </x:c>
      <x:c r="R62" s="10" t="n">
        <x:v>7</x:v>
      </x:c>
      <x:c r="S62" s="10" t="n">
        <x:v>1</x:v>
      </x:c>
      <x:c r="T62" s="10" t="n">
        <x:v>1</x:v>
      </x:c>
      <x:c r="U62" s="10" t="str">
        <x:v>Completed</x:v>
      </x:c>
      <x:c r="V62" s="10" t="n">
        <x:v>30</x:v>
      </x:c>
      <x:c r="W62" s="10" t="str">
        <x:f>XLOOKUP(F62,'产品维表'!$A$2:$A$5,'产品维表'!$D$2:$D$5,"未映射")</x:f>
        <x:v>L</x:v>
      </x:c>
      <x:c r="X62" s="10" t="str">
        <x:f>XLOOKUP(F62,'产品维表'!$A$2:$A$5,'产品维表'!$B$2:$B$5,"未映射")</x:f>
        <x:v>L2</x:v>
      </x:c>
      <x:c r="Y62" s="10" t="str">
        <x:f>XLOOKUP(G62,'渠道维表'!$A$2:$A$4,'渠道维表'!$B$2:$B$4,"未映射")</x:f>
        <x:v>区域经销</x:v>
      </x:c>
      <x:c r="Z62" s="10" t="str">
        <x:f>XLOOKUP(H62,'区域维表'!$A$2:$A$5,'区域维表'!$B$2:$B$5,"未映射")</x:f>
        <x:v>华南</x:v>
      </x:c>
      <x:c r="AA62" s="10" t="n">
        <x:f>XLOOKUP(B62,'日期维表'!$A$2:$A$43,'日期维表'!$F$2:$F$43,0)</x:f>
        <x:v>8</x:v>
      </x:c>
    </x:row>
    <x:row r="63" ht="15" hidden="0" customHeight="1">
      <x:c r="A63" s="10" t="str">
        <x:v>SO00062</x:v>
      </x:c>
      <x:c r="B63" s="10" t="n">
        <x:v>202311</x:v>
      </x:c>
      <x:c r="C63" s="10" t="n">
        <x:v>45239</x:v>
      </x:c>
      <x:c r="D63" s="10" t="n">
        <x:v>45246</x:v>
      </x:c>
      <x:c r="E63" s="10" t="n">
        <x:v>45246</x:v>
      </x:c>
      <x:c r="F63" s="10" t="n">
        <x:v>101</x:v>
      </x:c>
      <x:c r="G63" s="10" t="n">
        <x:v>1</x:v>
      </x:c>
      <x:c r="H63" s="10" t="n">
        <x:v>2</x:v>
      </x:c>
      <x:c r="I63" s="10" t="n">
        <x:v>40</x:v>
      </x:c>
      <x:c r="J63" s="10" t="n">
        <x:v>40</x:v>
      </x:c>
      <x:c r="K63" s="64" t="n">
        <x:v>2887.07</x:v>
      </x:c>
      <x:c r="L63" s="64" t="n">
        <x:v>115483</x:v>
      </x:c>
      <x:c r="M63" s="64" t="n">
        <x:v>0</x:v>
      </x:c>
      <x:c r="N63" s="64" t="n">
        <x:v>115483</x:v>
      </x:c>
      <x:c r="O63" s="64" t="n">
        <x:v>1841.19</x:v>
      </x:c>
      <x:c r="P63" s="64" t="n">
        <x:v>73647.56</x:v>
      </x:c>
      <x:c r="Q63" s="64" t="n">
        <x:v>41835.44</x:v>
      </x:c>
      <x:c r="R63" s="10" t="n">
        <x:v>7</x:v>
      </x:c>
      <x:c r="S63" s="10" t="n">
        <x:v>1</x:v>
      </x:c>
      <x:c r="T63" s="10" t="n">
        <x:v>1</x:v>
      </x:c>
      <x:c r="U63" s="10" t="str">
        <x:v>Completed</x:v>
      </x:c>
      <x:c r="V63" s="10" t="n">
        <x:v>0</x:v>
      </x:c>
      <x:c r="W63" s="10" t="str">
        <x:f>XLOOKUP(F63,'产品维表'!$A$2:$A$5,'产品维表'!$D$2:$D$5,"未映射")</x:f>
        <x:v>L</x:v>
      </x:c>
      <x:c r="X63" s="10" t="str">
        <x:f>XLOOKUP(F63,'产品维表'!$A$2:$A$5,'产品维表'!$B$2:$B$5,"未映射")</x:f>
        <x:v>L1</x:v>
      </x:c>
      <x:c r="Y63" s="10" t="str">
        <x:f>XLOOKUP(G63,'渠道维表'!$A$2:$A$4,'渠道维表'!$B$2:$B$4,"未映射")</x:f>
        <x:v>线上直营</x:v>
      </x:c>
      <x:c r="Z63" s="10" t="str">
        <x:f>XLOOKUP(H63,'区域维表'!$A$2:$A$5,'区域维表'!$B$2:$B$5,"未映射")</x:f>
        <x:v>华南</x:v>
      </x:c>
      <x:c r="AA63" s="10" t="n">
        <x:f>XLOOKUP(B63,'日期维表'!$A$2:$A$43,'日期维表'!$F$2:$F$43,0)</x:f>
        <x:v>8</x:v>
      </x:c>
    </x:row>
    <x:row r="64" ht="15" hidden="0" customHeight="1">
      <x:c r="A64" s="10" t="str">
        <x:v>SO00063</x:v>
      </x:c>
      <x:c r="B64" s="10" t="n">
        <x:v>202311</x:v>
      </x:c>
      <x:c r="C64" s="10" t="n">
        <x:v>45253</x:v>
      </x:c>
      <x:c r="D64" s="10" t="n">
        <x:v>45264</x:v>
      </x:c>
      <x:c r="E64" s="10" t="n">
        <x:v>45264</x:v>
      </x:c>
      <x:c r="F64" s="10" t="n">
        <x:v>101</x:v>
      </x:c>
      <x:c r="G64" s="10" t="n">
        <x:v>2</x:v>
      </x:c>
      <x:c r="H64" s="10" t="n">
        <x:v>3</x:v>
      </x:c>
      <x:c r="I64" s="10" t="n">
        <x:v>28</x:v>
      </x:c>
      <x:c r="J64" s="10" t="n">
        <x:v>28</x:v>
      </x:c>
      <x:c r="K64" s="64" t="n">
        <x:v>2737.43</x:v>
      </x:c>
      <x:c r="L64" s="64" t="n">
        <x:v>79018.56</x:v>
      </x:c>
      <x:c r="M64" s="64" t="n">
        <x:v>2370.56</x:v>
      </x:c>
      <x:c r="N64" s="64" t="n">
        <x:v>76648</x:v>
      </x:c>
      <x:c r="O64" s="64" t="n">
        <x:v>1868.2</x:v>
      </x:c>
      <x:c r="P64" s="64" t="n">
        <x:v>52309.69</x:v>
      </x:c>
      <x:c r="Q64" s="64" t="n">
        <x:v>24338.31</x:v>
      </x:c>
      <x:c r="R64" s="10" t="n">
        <x:v>11</x:v>
      </x:c>
      <x:c r="S64" s="10" t="n">
        <x:v>1</x:v>
      </x:c>
      <x:c r="T64" s="10" t="n">
        <x:v>1</x:v>
      </x:c>
      <x:c r="U64" s="10" t="str">
        <x:v>Completed</x:v>
      </x:c>
      <x:c r="V64" s="10" t="n">
        <x:v>15</x:v>
      </x:c>
      <x:c r="W64" s="10" t="str">
        <x:f>XLOOKUP(F64,'产品维表'!$A$2:$A$5,'产品维表'!$D$2:$D$5,"未映射")</x:f>
        <x:v>L</x:v>
      </x:c>
      <x:c r="X64" s="10" t="str">
        <x:f>XLOOKUP(F64,'产品维表'!$A$2:$A$5,'产品维表'!$B$2:$B$5,"未映射")</x:f>
        <x:v>L1</x:v>
      </x:c>
      <x:c r="Y64" s="10" t="str">
        <x:f>XLOOKUP(G64,'渠道维表'!$A$2:$A$4,'渠道维表'!$B$2:$B$4,"未映射")</x:f>
        <x:v>线下零售</x:v>
      </x:c>
      <x:c r="Z64" s="10" t="str">
        <x:f>XLOOKUP(H64,'区域维表'!$A$2:$A$5,'区域维表'!$B$2:$B$5,"未映射")</x:f>
        <x:v>华北</x:v>
      </x:c>
      <x:c r="AA64" s="10" t="n">
        <x:f>XLOOKUP(B64,'日期维表'!$A$2:$A$43,'日期维表'!$F$2:$F$43,0)</x:f>
        <x:v>8</x:v>
      </x:c>
    </x:row>
    <x:row r="65" ht="15" hidden="0" customHeight="1">
      <x:c r="A65" s="10" t="str">
        <x:v>SO00064</x:v>
      </x:c>
      <x:c r="B65" s="10" t="n">
        <x:v>202311</x:v>
      </x:c>
      <x:c r="C65" s="10" t="n">
        <x:v>45235</x:v>
      </x:c>
      <x:c r="D65" s="10" t="n">
        <x:v>45246</x:v>
      </x:c>
      <x:c r="E65" s="10" t="n">
        <x:v>45246</x:v>
      </x:c>
      <x:c r="F65" s="10" t="n">
        <x:v>101</x:v>
      </x:c>
      <x:c r="G65" s="10" t="n">
        <x:v>1</x:v>
      </x:c>
      <x:c r="H65" s="10" t="n">
        <x:v>4</x:v>
      </x:c>
      <x:c r="I65" s="10" t="n">
        <x:v>57</x:v>
      </x:c>
      <x:c r="J65" s="10" t="n">
        <x:v>57</x:v>
      </x:c>
      <x:c r="K65" s="64" t="n">
        <x:v>2731.86</x:v>
      </x:c>
      <x:c r="L65" s="64" t="n">
        <x:v>155716</x:v>
      </x:c>
      <x:c r="M65" s="64" t="n">
        <x:v>0</x:v>
      </x:c>
      <x:c r="N65" s="64" t="n">
        <x:v>155716</x:v>
      </x:c>
      <x:c r="O65" s="64" t="n">
        <x:v>1838.68</x:v>
      </x:c>
      <x:c r="P65" s="64" t="n">
        <x:v>104804.88</x:v>
      </x:c>
      <x:c r="Q65" s="64" t="n">
        <x:v>50911.12</x:v>
      </x:c>
      <x:c r="R65" s="10" t="n">
        <x:v>11</x:v>
      </x:c>
      <x:c r="S65" s="10" t="n">
        <x:v>1</x:v>
      </x:c>
      <x:c r="T65" s="10" t="n">
        <x:v>1</x:v>
      </x:c>
      <x:c r="U65" s="10" t="str">
        <x:v>Completed</x:v>
      </x:c>
      <x:c r="V65" s="10" t="n">
        <x:v>0</x:v>
      </x:c>
      <x:c r="W65" s="10" t="str">
        <x:f>XLOOKUP(F65,'产品维表'!$A$2:$A$5,'产品维表'!$D$2:$D$5,"未映射")</x:f>
        <x:v>L</x:v>
      </x:c>
      <x:c r="X65" s="10" t="str">
        <x:f>XLOOKUP(F65,'产品维表'!$A$2:$A$5,'产品维表'!$B$2:$B$5,"未映射")</x:f>
        <x:v>L1</x:v>
      </x:c>
      <x:c r="Y65" s="10" t="str">
        <x:f>XLOOKUP(G65,'渠道维表'!$A$2:$A$4,'渠道维表'!$B$2:$B$4,"未映射")</x:f>
        <x:v>线上直营</x:v>
      </x:c>
      <x:c r="Z65" s="10" t="str">
        <x:f>XLOOKUP(H65,'区域维表'!$A$2:$A$5,'区域维表'!$B$2:$B$5,"未映射")</x:f>
        <x:v>中西部</x:v>
      </x:c>
      <x:c r="AA65" s="10" t="n">
        <x:f>XLOOKUP(B65,'日期维表'!$A$2:$A$43,'日期维表'!$F$2:$F$43,0)</x:f>
        <x:v>8</x:v>
      </x:c>
    </x:row>
    <x:row r="66" ht="15" hidden="0" customHeight="1">
      <x:c r="A66" s="10" t="str">
        <x:v>SO00065</x:v>
      </x:c>
      <x:c r="B66" s="10" t="n">
        <x:v>202312</x:v>
      </x:c>
      <x:c r="C66" s="10" t="n">
        <x:v>45268</x:v>
      </x:c>
      <x:c r="D66" s="10" t="n">
        <x:v>45274</x:v>
      </x:c>
      <x:c r="E66" s="10" t="n">
        <x:v>45274</x:v>
      </x:c>
      <x:c r="F66" s="10" t="n">
        <x:v>102</x:v>
      </x:c>
      <x:c r="G66" s="10" t="n">
        <x:v>3</x:v>
      </x:c>
      <x:c r="H66" s="10" t="n">
        <x:v>1</x:v>
      </x:c>
      <x:c r="I66" s="10" t="n">
        <x:v>63</x:v>
      </x:c>
      <x:c r="J66" s="10" t="n">
        <x:v>63</x:v>
      </x:c>
      <x:c r="K66" s="64" t="n">
        <x:v>2694.89</x:v>
      </x:c>
      <x:c r="L66" s="64" t="n">
        <x:v>186569.23</x:v>
      </x:c>
      <x:c r="M66" s="64" t="n">
        <x:v>16791.23</x:v>
      </x:c>
      <x:c r="N66" s="64" t="n">
        <x:v>169778</x:v>
      </x:c>
      <x:c r="O66" s="64" t="n">
        <x:v>2289.48</x:v>
      </x:c>
      <x:c r="P66" s="64" t="n">
        <x:v>144237.55</x:v>
      </x:c>
      <x:c r="Q66" s="64" t="n">
        <x:v>25540.45</x:v>
      </x:c>
      <x:c r="R66" s="10" t="n">
        <x:v>6</x:v>
      </x:c>
      <x:c r="S66" s="10" t="n">
        <x:v>1</x:v>
      </x:c>
      <x:c r="T66" s="10" t="n">
        <x:v>1</x:v>
      </x:c>
      <x:c r="U66" s="10" t="str">
        <x:v>Completed</x:v>
      </x:c>
      <x:c r="V66" s="10" t="n">
        <x:v>30</x:v>
      </x:c>
      <x:c r="W66" s="10" t="str">
        <x:f>XLOOKUP(F66,'产品维表'!$A$2:$A$5,'产品维表'!$D$2:$D$5,"未映射")</x:f>
        <x:v>L</x:v>
      </x:c>
      <x:c r="X66" s="10" t="str">
        <x:f>XLOOKUP(F66,'产品维表'!$A$2:$A$5,'产品维表'!$B$2:$B$5,"未映射")</x:f>
        <x:v>L2</x:v>
      </x:c>
      <x:c r="Y66" s="10" t="str">
        <x:f>XLOOKUP(G66,'渠道维表'!$A$2:$A$4,'渠道维表'!$B$2:$B$4,"未映射")</x:f>
        <x:v>区域经销</x:v>
      </x:c>
      <x:c r="Z66" s="10" t="str">
        <x:f>XLOOKUP(H66,'区域维表'!$A$2:$A$5,'区域维表'!$B$2:$B$5,"未映射")</x:f>
        <x:v>华东</x:v>
      </x:c>
      <x:c r="AA66" s="10" t="n">
        <x:f>XLOOKUP(B66,'日期维表'!$A$2:$A$43,'日期维表'!$F$2:$F$43,0)</x:f>
        <x:v>8</x:v>
      </x:c>
    </x:row>
    <x:row r="67" ht="15" hidden="0" customHeight="1">
      <x:c r="A67" s="10" t="str">
        <x:v>SO00066</x:v>
      </x:c>
      <x:c r="B67" s="10" t="n">
        <x:v>202312</x:v>
      </x:c>
      <x:c r="C67" s="10" t="n">
        <x:v>45273</x:v>
      </x:c>
      <x:c r="D67" s="10" t="n">
        <x:v>45280</x:v>
      </x:c>
      <x:c r="E67" s="10" t="n">
        <x:v>45280</x:v>
      </x:c>
      <x:c r="F67" s="10" t="n">
        <x:v>101</x:v>
      </x:c>
      <x:c r="G67" s="10" t="n">
        <x:v>2</x:v>
      </x:c>
      <x:c r="H67" s="10" t="n">
        <x:v>3</x:v>
      </x:c>
      <x:c r="I67" s="10" t="n">
        <x:v>30</x:v>
      </x:c>
      <x:c r="J67" s="10" t="n">
        <x:v>30</x:v>
      </x:c>
      <x:c r="K67" s="64" t="n">
        <x:v>2932.67</x:v>
      </x:c>
      <x:c r="L67" s="64" t="n">
        <x:v>90701.03</x:v>
      </x:c>
      <x:c r="M67" s="64" t="n">
        <x:v>2721.03</x:v>
      </x:c>
      <x:c r="N67" s="64" t="n">
        <x:v>87980</x:v>
      </x:c>
      <x:c r="O67" s="64" t="n">
        <x:v>1842.26</x:v>
      </x:c>
      <x:c r="P67" s="64" t="n">
        <x:v>55267.65</x:v>
      </x:c>
      <x:c r="Q67" s="64" t="n">
        <x:v>32712.35</x:v>
      </x:c>
      <x:c r="R67" s="10" t="n">
        <x:v>7</x:v>
      </x:c>
      <x:c r="S67" s="10" t="n">
        <x:v>1</x:v>
      </x:c>
      <x:c r="T67" s="10" t="n">
        <x:v>1</x:v>
      </x:c>
      <x:c r="U67" s="10" t="str">
        <x:v>Completed</x:v>
      </x:c>
      <x:c r="V67" s="10" t="n">
        <x:v>15</x:v>
      </x:c>
      <x:c r="W67" s="10" t="str">
        <x:f>XLOOKUP(F67,'产品维表'!$A$2:$A$5,'产品维表'!$D$2:$D$5,"未映射")</x:f>
        <x:v>L</x:v>
      </x:c>
      <x:c r="X67" s="10" t="str">
        <x:f>XLOOKUP(F67,'产品维表'!$A$2:$A$5,'产品维表'!$B$2:$B$5,"未映射")</x:f>
        <x:v>L1</x:v>
      </x:c>
      <x:c r="Y67" s="10" t="str">
        <x:f>XLOOKUP(G67,'渠道维表'!$A$2:$A$4,'渠道维表'!$B$2:$B$4,"未映射")</x:f>
        <x:v>线下零售</x:v>
      </x:c>
      <x:c r="Z67" s="10" t="str">
        <x:f>XLOOKUP(H67,'区域维表'!$A$2:$A$5,'区域维表'!$B$2:$B$5,"未映射")</x:f>
        <x:v>华北</x:v>
      </x:c>
      <x:c r="AA67" s="10" t="n">
        <x:f>XLOOKUP(B67,'日期维表'!$A$2:$A$43,'日期维表'!$F$2:$F$43,0)</x:f>
        <x:v>8</x:v>
      </x:c>
    </x:row>
    <x:row r="68" ht="15" hidden="0" customHeight="1">
      <x:c r="A68" s="10" t="str">
        <x:v>SO00067</x:v>
      </x:c>
      <x:c r="B68" s="10" t="n">
        <x:v>202312</x:v>
      </x:c>
      <x:c r="C68" s="10" t="n">
        <x:v>45279</x:v>
      </x:c>
      <x:c r="D68" s="10" t="n">
        <x:v>45291</x:v>
      </x:c>
      <x:c r="E68" s="10" t="n">
        <x:v>45291</x:v>
      </x:c>
      <x:c r="F68" s="10" t="n">
        <x:v>102</x:v>
      </x:c>
      <x:c r="G68" s="10" t="n">
        <x:v>1</x:v>
      </x:c>
      <x:c r="H68" s="10" t="n">
        <x:v>2</x:v>
      </x:c>
      <x:c r="I68" s="10" t="n">
        <x:v>30</x:v>
      </x:c>
      <x:c r="J68" s="10" t="n">
        <x:v>30</x:v>
      </x:c>
      <x:c r="K68" s="64" t="n">
        <x:v>2682.87</x:v>
      </x:c>
      <x:c r="L68" s="64" t="n">
        <x:v>80486</x:v>
      </x:c>
      <x:c r="M68" s="64" t="n">
        <x:v>0</x:v>
      </x:c>
      <x:c r="N68" s="64" t="n">
        <x:v>80486</x:v>
      </x:c>
      <x:c r="O68" s="64" t="n">
        <x:v>2247.73</x:v>
      </x:c>
      <x:c r="P68" s="64" t="n">
        <x:v>67431.86</x:v>
      </x:c>
      <x:c r="Q68" s="64" t="n">
        <x:v>13054.14</x:v>
      </x:c>
      <x:c r="R68" s="10" t="n">
        <x:v>12</x:v>
      </x:c>
      <x:c r="S68" s="10" t="n">
        <x:v>1</x:v>
      </x:c>
      <x:c r="T68" s="10" t="n">
        <x:v>1</x:v>
      </x:c>
      <x:c r="U68" s="10" t="str">
        <x:v>Completed</x:v>
      </x:c>
      <x:c r="V68" s="10" t="n">
        <x:v>0</x:v>
      </x:c>
      <x:c r="W68" s="10" t="str">
        <x:f>XLOOKUP(F68,'产品维表'!$A$2:$A$5,'产品维表'!$D$2:$D$5,"未映射")</x:f>
        <x:v>L</x:v>
      </x:c>
      <x:c r="X68" s="10" t="str">
        <x:f>XLOOKUP(F68,'产品维表'!$A$2:$A$5,'产品维表'!$B$2:$B$5,"未映射")</x:f>
        <x:v>L2</x:v>
      </x:c>
      <x:c r="Y68" s="10" t="str">
        <x:f>XLOOKUP(G68,'渠道维表'!$A$2:$A$4,'渠道维表'!$B$2:$B$4,"未映射")</x:f>
        <x:v>线上直营</x:v>
      </x:c>
      <x:c r="Z68" s="10" t="str">
        <x:f>XLOOKUP(H68,'区域维表'!$A$2:$A$5,'区域维表'!$B$2:$B$5,"未映射")</x:f>
        <x:v>华南</x:v>
      </x:c>
      <x:c r="AA68" s="10" t="n">
        <x:f>XLOOKUP(B68,'日期维表'!$A$2:$A$43,'日期维表'!$F$2:$F$43,0)</x:f>
        <x:v>8</x:v>
      </x:c>
    </x:row>
    <x:row r="69" ht="15" hidden="0" customHeight="1">
      <x:c r="A69" s="10" t="str">
        <x:v>SO00068</x:v>
      </x:c>
      <x:c r="B69" s="10" t="n">
        <x:v>202312</x:v>
      </x:c>
      <x:c r="C69" s="10" t="n">
        <x:v>45273</x:v>
      </x:c>
      <x:c r="D69" s="10" t="n">
        <x:v>45280</x:v>
      </x:c>
      <x:c r="E69" s="10" t="n">
        <x:v>45280</x:v>
      </x:c>
      <x:c r="F69" s="10" t="n">
        <x:v>101</x:v>
      </x:c>
      <x:c r="G69" s="10" t="n">
        <x:v>2</x:v>
      </x:c>
      <x:c r="H69" s="10" t="n">
        <x:v>4</x:v>
      </x:c>
      <x:c r="I69" s="10" t="n">
        <x:v>34</x:v>
      </x:c>
      <x:c r="J69" s="10" t="n">
        <x:v>34</x:v>
      </x:c>
      <x:c r="K69" s="64" t="n">
        <x:v>2641</x:v>
      </x:c>
      <x:c r="L69" s="64" t="n">
        <x:v>92571.13</x:v>
      </x:c>
      <x:c r="M69" s="64" t="n">
        <x:v>2777.13</x:v>
      </x:c>
      <x:c r="N69" s="64" t="n">
        <x:v>89794</x:v>
      </x:c>
      <x:c r="O69" s="64" t="n">
        <x:v>1868.05</x:v>
      </x:c>
      <x:c r="P69" s="64" t="n">
        <x:v>63513.63</x:v>
      </x:c>
      <x:c r="Q69" s="64" t="n">
        <x:v>26280.37</x:v>
      </x:c>
      <x:c r="R69" s="10" t="n">
        <x:v>7</x:v>
      </x:c>
      <x:c r="S69" s="10" t="n">
        <x:v>1</x:v>
      </x:c>
      <x:c r="T69" s="10" t="n">
        <x:v>1</x:v>
      </x:c>
      <x:c r="U69" s="10" t="str">
        <x:v>Completed</x:v>
      </x:c>
      <x:c r="V69" s="10" t="n">
        <x:v>15</x:v>
      </x:c>
      <x:c r="W69" s="10" t="str">
        <x:f>XLOOKUP(F69,'产品维表'!$A$2:$A$5,'产品维表'!$D$2:$D$5,"未映射")</x:f>
        <x:v>L</x:v>
      </x:c>
      <x:c r="X69" s="10" t="str">
        <x:f>XLOOKUP(F69,'产品维表'!$A$2:$A$5,'产品维表'!$B$2:$B$5,"未映射")</x:f>
        <x:v>L1</x:v>
      </x:c>
      <x:c r="Y69" s="10" t="str">
        <x:f>XLOOKUP(G69,'渠道维表'!$A$2:$A$4,'渠道维表'!$B$2:$B$4,"未映射")</x:f>
        <x:v>线下零售</x:v>
      </x:c>
      <x:c r="Z69" s="10" t="str">
        <x:f>XLOOKUP(H69,'区域维表'!$A$2:$A$5,'区域维表'!$B$2:$B$5,"未映射")</x:f>
        <x:v>中西部</x:v>
      </x:c>
      <x:c r="AA69" s="10" t="n">
        <x:f>XLOOKUP(B69,'日期维表'!$A$2:$A$43,'日期维表'!$F$2:$F$43,0)</x:f>
        <x:v>8</x:v>
      </x:c>
    </x:row>
    <x:row r="70" ht="15" hidden="0" customHeight="1">
      <x:c r="A70" s="10" t="str">
        <x:v>SO00069</x:v>
      </x:c>
      <x:c r="B70" s="10" t="n">
        <x:v>202312</x:v>
      </x:c>
      <x:c r="C70" s="10" t="n">
        <x:v>45266</x:v>
      </x:c>
      <x:c r="D70" s="10" t="n">
        <x:v>45278</x:v>
      </x:c>
      <x:c r="E70" s="10" t="n">
        <x:v>45278</x:v>
      </x:c>
      <x:c r="F70" s="10" t="n">
        <x:v>102</x:v>
      </x:c>
      <x:c r="G70" s="10" t="n">
        <x:v>3</x:v>
      </x:c>
      <x:c r="H70" s="10" t="n">
        <x:v>1</x:v>
      </x:c>
      <x:c r="I70" s="10" t="n">
        <x:v>31</x:v>
      </x:c>
      <x:c r="J70" s="10" t="n">
        <x:v>31</x:v>
      </x:c>
      <x:c r="K70" s="64" t="n">
        <x:v>2780.71</x:v>
      </x:c>
      <x:c r="L70" s="64" t="n">
        <x:v>94727.47</x:v>
      </x:c>
      <x:c r="M70" s="64" t="n">
        <x:v>8525.47</x:v>
      </x:c>
      <x:c r="N70" s="64" t="n">
        <x:v>86202</x:v>
      </x:c>
      <x:c r="O70" s="64" t="n">
        <x:v>2259.61</x:v>
      </x:c>
      <x:c r="P70" s="64" t="n">
        <x:v>70048.03</x:v>
      </x:c>
      <x:c r="Q70" s="64" t="n">
        <x:v>16153.97</x:v>
      </x:c>
      <x:c r="R70" s="10" t="n">
        <x:v>12</x:v>
      </x:c>
      <x:c r="S70" s="10" t="n">
        <x:v>1</x:v>
      </x:c>
      <x:c r="T70" s="10" t="n">
        <x:v>1</x:v>
      </x:c>
      <x:c r="U70" s="10" t="str">
        <x:v>Completed</x:v>
      </x:c>
      <x:c r="V70" s="10" t="n">
        <x:v>30</x:v>
      </x:c>
      <x:c r="W70" s="10" t="str">
        <x:f>XLOOKUP(F70,'产品维表'!$A$2:$A$5,'产品维表'!$D$2:$D$5,"未映射")</x:f>
        <x:v>L</x:v>
      </x:c>
      <x:c r="X70" s="10" t="str">
        <x:f>XLOOKUP(F70,'产品维表'!$A$2:$A$5,'产品维表'!$B$2:$B$5,"未映射")</x:f>
        <x:v>L2</x:v>
      </x:c>
      <x:c r="Y70" s="10" t="str">
        <x:f>XLOOKUP(G70,'渠道维表'!$A$2:$A$4,'渠道维表'!$B$2:$B$4,"未映射")</x:f>
        <x:v>区域经销</x:v>
      </x:c>
      <x:c r="Z70" s="10" t="str">
        <x:f>XLOOKUP(H70,'区域维表'!$A$2:$A$5,'区域维表'!$B$2:$B$5,"未映射")</x:f>
        <x:v>华东</x:v>
      </x:c>
      <x:c r="AA70" s="10" t="n">
        <x:f>XLOOKUP(B70,'日期维表'!$A$2:$A$43,'日期维表'!$F$2:$F$43,0)</x:f>
        <x:v>8</x:v>
      </x:c>
    </x:row>
    <x:row r="71" ht="15" hidden="0" customHeight="1">
      <x:c r="A71" s="10" t="str">
        <x:v>SO00070</x:v>
      </x:c>
      <x:c r="B71" s="10" t="n">
        <x:v>202312</x:v>
      </x:c>
      <x:c r="C71" s="10" t="n">
        <x:v>45278</x:v>
      </x:c>
      <x:c r="D71" s="10" t="n">
        <x:v>45285</x:v>
      </x:c>
      <x:c r="E71" s="10" t="n">
        <x:v>45285</x:v>
      </x:c>
      <x:c r="F71" s="10" t="n">
        <x:v>101</x:v>
      </x:c>
      <x:c r="G71" s="10" t="n">
        <x:v>3</x:v>
      </x:c>
      <x:c r="H71" s="10" t="n">
        <x:v>1</x:v>
      </x:c>
      <x:c r="I71" s="10" t="n">
        <x:v>62</x:v>
      </x:c>
      <x:c r="J71" s="10" t="n">
        <x:v>62</x:v>
      </x:c>
      <x:c r="K71" s="64" t="n">
        <x:v>2708.94</x:v>
      </x:c>
      <x:c r="L71" s="64" t="n">
        <x:v>184564.84</x:v>
      </x:c>
      <x:c r="M71" s="64" t="n">
        <x:v>16610.84</x:v>
      </x:c>
      <x:c r="N71" s="64" t="n">
        <x:v>167954</x:v>
      </x:c>
      <x:c r="O71" s="64" t="n">
        <x:v>1793.75</x:v>
      </x:c>
      <x:c r="P71" s="64" t="n">
        <x:v>111212.43</x:v>
      </x:c>
      <x:c r="Q71" s="64" t="n">
        <x:v>56741.57</x:v>
      </x:c>
      <x:c r="R71" s="10" t="n">
        <x:v>7</x:v>
      </x:c>
      <x:c r="S71" s="10" t="n">
        <x:v>1</x:v>
      </x:c>
      <x:c r="T71" s="10" t="n">
        <x:v>1</x:v>
      </x:c>
      <x:c r="U71" s="10" t="str">
        <x:v>Completed</x:v>
      </x:c>
      <x:c r="V71" s="10" t="n">
        <x:v>30</x:v>
      </x:c>
      <x:c r="W71" s="10" t="str">
        <x:f>XLOOKUP(F71,'产品维表'!$A$2:$A$5,'产品维表'!$D$2:$D$5,"未映射")</x:f>
        <x:v>L</x:v>
      </x:c>
      <x:c r="X71" s="10" t="str">
        <x:f>XLOOKUP(F71,'产品维表'!$A$2:$A$5,'产品维表'!$B$2:$B$5,"未映射")</x:f>
        <x:v>L1</x:v>
      </x:c>
      <x:c r="Y71" s="10" t="str">
        <x:f>XLOOKUP(G71,'渠道维表'!$A$2:$A$4,'渠道维表'!$B$2:$B$4,"未映射")</x:f>
        <x:v>区域经销</x:v>
      </x:c>
      <x:c r="Z71" s="10" t="str">
        <x:f>XLOOKUP(H71,'区域维表'!$A$2:$A$5,'区域维表'!$B$2:$B$5,"未映射")</x:f>
        <x:v>华东</x:v>
      </x:c>
      <x:c r="AA71" s="10" t="n">
        <x:f>XLOOKUP(B71,'日期维表'!$A$2:$A$43,'日期维表'!$F$2:$F$43,0)</x:f>
        <x:v>8</x:v>
      </x:c>
    </x:row>
    <x:row r="72" ht="15" hidden="0" customHeight="1">
      <x:c r="A72" s="10" t="str">
        <x:v>SO00071</x:v>
      </x:c>
      <x:c r="B72" s="10" t="n">
        <x:v>202312</x:v>
      </x:c>
      <x:c r="C72" s="10" t="n">
        <x:v>45276</x:v>
      </x:c>
      <x:c r="D72" s="10" t="n">
        <x:v>45287</x:v>
      </x:c>
      <x:c r="E72" s="10" t="n">
        <x:v>45290</x:v>
      </x:c>
      <x:c r="F72" s="10" t="n">
        <x:v>101</x:v>
      </x:c>
      <x:c r="G72" s="10" t="n">
        <x:v>3</x:v>
      </x:c>
      <x:c r="H72" s="10" t="n">
        <x:v>1</x:v>
      </x:c>
      <x:c r="I72" s="10" t="n">
        <x:v>51</x:v>
      </x:c>
      <x:c r="J72" s="10" t="n">
        <x:v>51</x:v>
      </x:c>
      <x:c r="K72" s="64" t="n">
        <x:v>2988.51</x:v>
      </x:c>
      <x:c r="L72" s="64" t="n">
        <x:v>167487.91</x:v>
      </x:c>
      <x:c r="M72" s="64" t="n">
        <x:v>15073.91</x:v>
      </x:c>
      <x:c r="N72" s="64" t="n">
        <x:v>152414</x:v>
      </x:c>
      <x:c r="O72" s="64" t="n">
        <x:v>1802.96</x:v>
      </x:c>
      <x:c r="P72" s="64" t="n">
        <x:v>91951.08</x:v>
      </x:c>
      <x:c r="Q72" s="64" t="n">
        <x:v>60462.92</x:v>
      </x:c>
      <x:c r="R72" s="10" t="n">
        <x:v>14</x:v>
      </x:c>
      <x:c r="S72" s="10" t="n">
        <x:v>0</x:v>
      </x:c>
      <x:c r="T72" s="10" t="n">
        <x:v>1</x:v>
      </x:c>
      <x:c r="U72" s="10" t="str">
        <x:v>Completed</x:v>
      </x:c>
      <x:c r="V72" s="10" t="n">
        <x:v>30</x:v>
      </x:c>
      <x:c r="W72" s="10" t="str">
        <x:f>XLOOKUP(F72,'产品维表'!$A$2:$A$5,'产品维表'!$D$2:$D$5,"未映射")</x:f>
        <x:v>L</x:v>
      </x:c>
      <x:c r="X72" s="10" t="str">
        <x:f>XLOOKUP(F72,'产品维表'!$A$2:$A$5,'产品维表'!$B$2:$B$5,"未映射")</x:f>
        <x:v>L1</x:v>
      </x:c>
      <x:c r="Y72" s="10" t="str">
        <x:f>XLOOKUP(G72,'渠道维表'!$A$2:$A$4,'渠道维表'!$B$2:$B$4,"未映射")</x:f>
        <x:v>区域经销</x:v>
      </x:c>
      <x:c r="Z72" s="10" t="str">
        <x:f>XLOOKUP(H72,'区域维表'!$A$2:$A$5,'区域维表'!$B$2:$B$5,"未映射")</x:f>
        <x:v>华东</x:v>
      </x:c>
      <x:c r="AA72" s="10" t="n">
        <x:f>XLOOKUP(B72,'日期维表'!$A$2:$A$43,'日期维表'!$F$2:$F$43,0)</x:f>
        <x:v>8</x:v>
      </x:c>
    </x:row>
    <x:row r="73" ht="15" hidden="0" customHeight="1">
      <x:c r="A73" s="10" t="str">
        <x:v>SO00072</x:v>
      </x:c>
      <x:c r="B73" s="10" t="n">
        <x:v>202312</x:v>
      </x:c>
      <x:c r="C73" s="10" t="n">
        <x:v>45269</x:v>
      </x:c>
      <x:c r="D73" s="10" t="n">
        <x:v>45277</x:v>
      </x:c>
      <x:c r="E73" s="10" t="n">
        <x:v>45277</x:v>
      </x:c>
      <x:c r="F73" s="10" t="n">
        <x:v>101</x:v>
      </x:c>
      <x:c r="G73" s="10" t="n">
        <x:v>2</x:v>
      </x:c>
      <x:c r="H73" s="10" t="n">
        <x:v>2</x:v>
      </x:c>
      <x:c r="I73" s="10" t="n">
        <x:v>42</x:v>
      </x:c>
      <x:c r="J73" s="10" t="n">
        <x:v>42</x:v>
      </x:c>
      <x:c r="K73" s="64" t="n">
        <x:v>2603.31</x:v>
      </x:c>
      <x:c r="L73" s="64" t="n">
        <x:v>112720.62</x:v>
      </x:c>
      <x:c r="M73" s="64" t="n">
        <x:v>3381.62</x:v>
      </x:c>
      <x:c r="N73" s="64" t="n">
        <x:v>109339</x:v>
      </x:c>
      <x:c r="O73" s="64" t="n">
        <x:v>1869.02</x:v>
      </x:c>
      <x:c r="P73" s="64" t="n">
        <x:v>78498.77</x:v>
      </x:c>
      <x:c r="Q73" s="64" t="n">
        <x:v>30840.23</x:v>
      </x:c>
      <x:c r="R73" s="10" t="n">
        <x:v>8</x:v>
      </x:c>
      <x:c r="S73" s="10" t="n">
        <x:v>1</x:v>
      </x:c>
      <x:c r="T73" s="10" t="n">
        <x:v>1</x:v>
      </x:c>
      <x:c r="U73" s="10" t="str">
        <x:v>Completed</x:v>
      </x:c>
      <x:c r="V73" s="10" t="n">
        <x:v>15</x:v>
      </x:c>
      <x:c r="W73" s="10" t="str">
        <x:f>XLOOKUP(F73,'产品维表'!$A$2:$A$5,'产品维表'!$D$2:$D$5,"未映射")</x:f>
        <x:v>L</x:v>
      </x:c>
      <x:c r="X73" s="10" t="str">
        <x:f>XLOOKUP(F73,'产品维表'!$A$2:$A$5,'产品维表'!$B$2:$B$5,"未映射")</x:f>
        <x:v>L1</x:v>
      </x:c>
      <x:c r="Y73" s="10" t="str">
        <x:f>XLOOKUP(G73,'渠道维表'!$A$2:$A$4,'渠道维表'!$B$2:$B$4,"未映射")</x:f>
        <x:v>线下零售</x:v>
      </x:c>
      <x:c r="Z73" s="10" t="str">
        <x:f>XLOOKUP(H73,'区域维表'!$A$2:$A$5,'区域维表'!$B$2:$B$5,"未映射")</x:f>
        <x:v>华南</x:v>
      </x:c>
      <x:c r="AA73" s="10" t="n">
        <x:f>XLOOKUP(B73,'日期维表'!$A$2:$A$43,'日期维表'!$F$2:$F$43,0)</x:f>
        <x:v>8</x:v>
      </x:c>
    </x:row>
    <x:row r="74" ht="15" hidden="0" customHeight="1">
      <x:c r="A74" s="10" t="str">
        <x:v>SO00073</x:v>
      </x:c>
      <x:c r="B74" s="10" t="n">
        <x:v>202401</x:v>
      </x:c>
      <x:c r="C74" s="10" t="n">
        <x:v>45304</x:v>
      </x:c>
      <x:c r="D74" s="10" t="n">
        <x:v>45310</x:v>
      </x:c>
      <x:c r="E74" s="10" t="n">
        <x:v>45310</x:v>
      </x:c>
      <x:c r="F74" s="10" t="n">
        <x:v>102</x:v>
      </x:c>
      <x:c r="G74" s="10" t="n">
        <x:v>2</x:v>
      </x:c>
      <x:c r="H74" s="10" t="n">
        <x:v>2</x:v>
      </x:c>
      <x:c r="I74" s="10" t="n">
        <x:v>7</x:v>
      </x:c>
      <x:c r="J74" s="10" t="n">
        <x:v>7</x:v>
      </x:c>
      <x:c r="K74" s="64" t="n">
        <x:v>2564.86</x:v>
      </x:c>
      <x:c r="L74" s="64" t="n">
        <x:v>18509.28</x:v>
      </x:c>
      <x:c r="M74" s="64" t="n">
        <x:v>555.28</x:v>
      </x:c>
      <x:c r="N74" s="64" t="n">
        <x:v>17954</x:v>
      </x:c>
      <x:c r="O74" s="64" t="n">
        <x:v>1871.99</x:v>
      </x:c>
      <x:c r="P74" s="64" t="n">
        <x:v>13103.9</x:v>
      </x:c>
      <x:c r="Q74" s="64" t="n">
        <x:v>4850.1</x:v>
      </x:c>
      <x:c r="R74" s="10" t="n">
        <x:v>6</x:v>
      </x:c>
      <x:c r="S74" s="10" t="n">
        <x:v>1</x:v>
      </x:c>
      <x:c r="T74" s="10" t="n">
        <x:v>1</x:v>
      </x:c>
      <x:c r="U74" s="10" t="str">
        <x:v>Completed</x:v>
      </x:c>
      <x:c r="V74" s="10" t="n">
        <x:v>15</x:v>
      </x:c>
      <x:c r="W74" s="10" t="str">
        <x:f>XLOOKUP(F74,'产品维表'!$A$2:$A$5,'产品维表'!$D$2:$D$5,"未映射")</x:f>
        <x:v>L</x:v>
      </x:c>
      <x:c r="X74" s="10" t="str">
        <x:f>XLOOKUP(F74,'产品维表'!$A$2:$A$5,'产品维表'!$B$2:$B$5,"未映射")</x:f>
        <x:v>L2</x:v>
      </x:c>
      <x:c r="Y74" s="10" t="str">
        <x:f>XLOOKUP(G74,'渠道维表'!$A$2:$A$4,'渠道维表'!$B$2:$B$4,"未映射")</x:f>
        <x:v>线下零售</x:v>
      </x:c>
      <x:c r="Z74" s="10" t="str">
        <x:f>XLOOKUP(H74,'区域维表'!$A$2:$A$5,'区域维表'!$B$2:$B$5,"未映射")</x:f>
        <x:v>华南</x:v>
      </x:c>
      <x:c r="AA74" s="10" t="n">
        <x:f>XLOOKUP(B74,'日期维表'!$A$2:$A$43,'日期维表'!$F$2:$F$43,0)</x:f>
        <x:v>9</x:v>
      </x:c>
    </x:row>
    <x:row r="75" ht="15" hidden="0" customHeight="1">
      <x:c r="A75" s="10" t="str">
        <x:v>SO00074</x:v>
      </x:c>
      <x:c r="B75" s="10" t="n">
        <x:v>202401</x:v>
      </x:c>
      <x:c r="C75" s="10" t="n">
        <x:v>45299</x:v>
      </x:c>
      <x:c r="D75" s="10" t="n">
        <x:v>45309</x:v>
      </x:c>
      <x:c r="E75" s="10" t="n">
        <x:v>45309</x:v>
      </x:c>
      <x:c r="F75" s="10" t="n">
        <x:v>101</x:v>
      </x:c>
      <x:c r="G75" s="10" t="n">
        <x:v>3</x:v>
      </x:c>
      <x:c r="H75" s="10" t="n">
        <x:v>4</x:v>
      </x:c>
      <x:c r="I75" s="10" t="n">
        <x:v>5</x:v>
      </x:c>
      <x:c r="J75" s="10" t="n">
        <x:v>5</x:v>
      </x:c>
      <x:c r="K75" s="64" t="n">
        <x:v>2613.8</x:v>
      </x:c>
      <x:c r="L75" s="64" t="n">
        <x:v>14361.54</x:v>
      </x:c>
      <x:c r="M75" s="64" t="n">
        <x:v>1292.54</x:v>
      </x:c>
      <x:c r="N75" s="64" t="n">
        <x:v>13069</x:v>
      </x:c>
      <x:c r="O75" s="64" t="n">
        <x:v>1868.96</x:v>
      </x:c>
      <x:c r="P75" s="64" t="n">
        <x:v>9344.8</x:v>
      </x:c>
      <x:c r="Q75" s="64" t="n">
        <x:v>3724.2</x:v>
      </x:c>
      <x:c r="R75" s="10" t="n">
        <x:v>10</x:v>
      </x:c>
      <x:c r="S75" s="10" t="n">
        <x:v>1</x:v>
      </x:c>
      <x:c r="T75" s="10" t="n">
        <x:v>1</x:v>
      </x:c>
      <x:c r="U75" s="10" t="str">
        <x:v>Completed</x:v>
      </x:c>
      <x:c r="V75" s="10" t="n">
        <x:v>30</x:v>
      </x:c>
      <x:c r="W75" s="10" t="str">
        <x:f>XLOOKUP(F75,'产品维表'!$A$2:$A$5,'产品维表'!$D$2:$D$5,"未映射")</x:f>
        <x:v>L</x:v>
      </x:c>
      <x:c r="X75" s="10" t="str">
        <x:f>XLOOKUP(F75,'产品维表'!$A$2:$A$5,'产品维表'!$B$2:$B$5,"未映射")</x:f>
        <x:v>L1</x:v>
      </x:c>
      <x:c r="Y75" s="10" t="str">
        <x:f>XLOOKUP(G75,'渠道维表'!$A$2:$A$4,'渠道维表'!$B$2:$B$4,"未映射")</x:f>
        <x:v>区域经销</x:v>
      </x:c>
      <x:c r="Z75" s="10" t="str">
        <x:f>XLOOKUP(H75,'区域维表'!$A$2:$A$5,'区域维表'!$B$2:$B$5,"未映射")</x:f>
        <x:v>中西部</x:v>
      </x:c>
      <x:c r="AA75" s="10" t="n">
        <x:f>XLOOKUP(B75,'日期维表'!$A$2:$A$43,'日期维表'!$F$2:$F$43,0)</x:f>
        <x:v>9</x:v>
      </x:c>
    </x:row>
    <x:row r="76" ht="15" hidden="0" customHeight="1">
      <x:c r="A76" s="10" t="str">
        <x:v>SO00075</x:v>
      </x:c>
      <x:c r="B76" s="10" t="n">
        <x:v>202401</x:v>
      </x:c>
      <x:c r="C76" s="10" t="n">
        <x:v>45305</x:v>
      </x:c>
      <x:c r="D76" s="10" t="n">
        <x:v>45315</x:v>
      </x:c>
      <x:c r="E76" s="10" t="n">
        <x:v>45315</x:v>
      </x:c>
      <x:c r="F76" s="10" t="n">
        <x:v>102</x:v>
      </x:c>
      <x:c r="G76" s="10" t="n">
        <x:v>1</x:v>
      </x:c>
      <x:c r="H76" s="10" t="n">
        <x:v>1</x:v>
      </x:c>
      <x:c r="I76" s="10" t="n">
        <x:v>11</x:v>
      </x:c>
      <x:c r="J76" s="10" t="n">
        <x:v>11</x:v>
      </x:c>
      <x:c r="K76" s="64" t="n">
        <x:v>2881.36</x:v>
      </x:c>
      <x:c r="L76" s="64" t="n">
        <x:v>31695</x:v>
      </x:c>
      <x:c r="M76" s="64" t="n">
        <x:v>0</x:v>
      </x:c>
      <x:c r="N76" s="64" t="n">
        <x:v>31695</x:v>
      </x:c>
      <x:c r="O76" s="64" t="n">
        <x:v>2296.26</x:v>
      </x:c>
      <x:c r="P76" s="64" t="n">
        <x:v>25258.83</x:v>
      </x:c>
      <x:c r="Q76" s="64" t="n">
        <x:v>6436.17</x:v>
      </x:c>
      <x:c r="R76" s="10" t="n">
        <x:v>10</x:v>
      </x:c>
      <x:c r="S76" s="10" t="n">
        <x:v>1</x:v>
      </x:c>
      <x:c r="T76" s="10" t="n">
        <x:v>1</x:v>
      </x:c>
      <x:c r="U76" s="10" t="str">
        <x:v>Completed</x:v>
      </x:c>
      <x:c r="V76" s="10" t="n">
        <x:v>0</x:v>
      </x:c>
      <x:c r="W76" s="10" t="str">
        <x:f>XLOOKUP(F76,'产品维表'!$A$2:$A$5,'产品维表'!$D$2:$D$5,"未映射")</x:f>
        <x:v>L</x:v>
      </x:c>
      <x:c r="X76" s="10" t="str">
        <x:f>XLOOKUP(F76,'产品维表'!$A$2:$A$5,'产品维表'!$B$2:$B$5,"未映射")</x:f>
        <x:v>L2</x:v>
      </x:c>
      <x:c r="Y76" s="10" t="str">
        <x:f>XLOOKUP(G76,'渠道维表'!$A$2:$A$4,'渠道维表'!$B$2:$B$4,"未映射")</x:f>
        <x:v>线上直营</x:v>
      </x:c>
      <x:c r="Z76" s="10" t="str">
        <x:f>XLOOKUP(H76,'区域维表'!$A$2:$A$5,'区域维表'!$B$2:$B$5,"未映射")</x:f>
        <x:v>华东</x:v>
      </x:c>
      <x:c r="AA76" s="10" t="n">
        <x:f>XLOOKUP(B76,'日期维表'!$A$2:$A$43,'日期维表'!$F$2:$F$43,0)</x:f>
        <x:v>9</x:v>
      </x:c>
    </x:row>
    <x:row r="77" ht="15" hidden="0" customHeight="1">
      <x:c r="A77" s="10" t="str">
        <x:v>SO00076</x:v>
      </x:c>
      <x:c r="B77" s="10" t="n">
        <x:v>202401</x:v>
      </x:c>
      <x:c r="C77" s="10" t="n">
        <x:v>45300</x:v>
      </x:c>
      <x:c r="D77" s="10" t="n">
        <x:v>45310</x:v>
      </x:c>
      <x:c r="E77" s="10" t="n">
        <x:v>45310</x:v>
      </x:c>
      <x:c r="F77" s="10" t="n">
        <x:v>101</x:v>
      </x:c>
      <x:c r="G77" s="10" t="n">
        <x:v>1</x:v>
      </x:c>
      <x:c r="H77" s="10" t="n">
        <x:v>3</x:v>
      </x:c>
      <x:c r="I77" s="10" t="n">
        <x:v>11</x:v>
      </x:c>
      <x:c r="J77" s="10" t="n">
        <x:v>11</x:v>
      </x:c>
      <x:c r="K77" s="64" t="n">
        <x:v>2817.91</x:v>
      </x:c>
      <x:c r="L77" s="64" t="n">
        <x:v>30997</x:v>
      </x:c>
      <x:c r="M77" s="64" t="n">
        <x:v>0</x:v>
      </x:c>
      <x:c r="N77" s="64" t="n">
        <x:v>30997</x:v>
      </x:c>
      <x:c r="O77" s="64" t="n">
        <x:v>1811.08</x:v>
      </x:c>
      <x:c r="P77" s="64" t="n">
        <x:v>19921.92</x:v>
      </x:c>
      <x:c r="Q77" s="64" t="n">
        <x:v>11075.08</x:v>
      </x:c>
      <x:c r="R77" s="10" t="n">
        <x:v>10</x:v>
      </x:c>
      <x:c r="S77" s="10" t="n">
        <x:v>1</x:v>
      </x:c>
      <x:c r="T77" s="10" t="n">
        <x:v>1</x:v>
      </x:c>
      <x:c r="U77" s="10" t="str">
        <x:v>Completed</x:v>
      </x:c>
      <x:c r="V77" s="10" t="n">
        <x:v>0</x:v>
      </x:c>
      <x:c r="W77" s="10" t="str">
        <x:f>XLOOKUP(F77,'产品维表'!$A$2:$A$5,'产品维表'!$D$2:$D$5,"未映射")</x:f>
        <x:v>L</x:v>
      </x:c>
      <x:c r="X77" s="10" t="str">
        <x:f>XLOOKUP(F77,'产品维表'!$A$2:$A$5,'产品维表'!$B$2:$B$5,"未映射")</x:f>
        <x:v>L1</x:v>
      </x:c>
      <x:c r="Y77" s="10" t="str">
        <x:f>XLOOKUP(G77,'渠道维表'!$A$2:$A$4,'渠道维表'!$B$2:$B$4,"未映射")</x:f>
        <x:v>线上直营</x:v>
      </x:c>
      <x:c r="Z77" s="10" t="str">
        <x:f>XLOOKUP(H77,'区域维表'!$A$2:$A$5,'区域维表'!$B$2:$B$5,"未映射")</x:f>
        <x:v>华北</x:v>
      </x:c>
      <x:c r="AA77" s="10" t="n">
        <x:f>XLOOKUP(B77,'日期维表'!$A$2:$A$43,'日期维表'!$F$2:$F$43,0)</x:f>
        <x:v>9</x:v>
      </x:c>
    </x:row>
    <x:row r="78" ht="15" hidden="0" customHeight="1">
      <x:c r="A78" s="10" t="str">
        <x:v>SO00077</x:v>
      </x:c>
      <x:c r="B78" s="10" t="n">
        <x:v>202401</x:v>
      </x:c>
      <x:c r="C78" s="10" t="n">
        <x:v>45311</x:v>
      </x:c>
      <x:c r="D78" s="10" t="n">
        <x:v>45321</x:v>
      </x:c>
      <x:c r="E78" s="10" t="n">
        <x:v>45321</x:v>
      </x:c>
      <x:c r="F78" s="10" t="n">
        <x:v>101</x:v>
      </x:c>
      <x:c r="G78" s="10" t="n">
        <x:v>2</x:v>
      </x:c>
      <x:c r="H78" s="10" t="n">
        <x:v>4</x:v>
      </x:c>
      <x:c r="I78" s="10" t="n">
        <x:v>8</x:v>
      </x:c>
      <x:c r="J78" s="10" t="n">
        <x:v>8</x:v>
      </x:c>
      <x:c r="K78" s="64" t="n">
        <x:v>2600.12</x:v>
      </x:c>
      <x:c r="L78" s="64" t="n">
        <x:v>21444.33</x:v>
      </x:c>
      <x:c r="M78" s="64" t="n">
        <x:v>643.33</x:v>
      </x:c>
      <x:c r="N78" s="64" t="n">
        <x:v>20801</x:v>
      </x:c>
      <x:c r="O78" s="64" t="n">
        <x:v>1814.69</x:v>
      </x:c>
      <x:c r="P78" s="64" t="n">
        <x:v>14517.52</x:v>
      </x:c>
      <x:c r="Q78" s="64" t="n">
        <x:v>6283.48</x:v>
      </x:c>
      <x:c r="R78" s="10" t="n">
        <x:v>10</x:v>
      </x:c>
      <x:c r="S78" s="10" t="n">
        <x:v>1</x:v>
      </x:c>
      <x:c r="T78" s="10" t="n">
        <x:v>1</x:v>
      </x:c>
      <x:c r="U78" s="10" t="str">
        <x:v>Completed</x:v>
      </x:c>
      <x:c r="V78" s="10" t="n">
        <x:v>15</x:v>
      </x:c>
      <x:c r="W78" s="10" t="str">
        <x:f>XLOOKUP(F78,'产品维表'!$A$2:$A$5,'产品维表'!$D$2:$D$5,"未映射")</x:f>
        <x:v>L</x:v>
      </x:c>
      <x:c r="X78" s="10" t="str">
        <x:f>XLOOKUP(F78,'产品维表'!$A$2:$A$5,'产品维表'!$B$2:$B$5,"未映射")</x:f>
        <x:v>L1</x:v>
      </x:c>
      <x:c r="Y78" s="10" t="str">
        <x:f>XLOOKUP(G78,'渠道维表'!$A$2:$A$4,'渠道维表'!$B$2:$B$4,"未映射")</x:f>
        <x:v>线下零售</x:v>
      </x:c>
      <x:c r="Z78" s="10" t="str">
        <x:f>XLOOKUP(H78,'区域维表'!$A$2:$A$5,'区域维表'!$B$2:$B$5,"未映射")</x:f>
        <x:v>中西部</x:v>
      </x:c>
      <x:c r="AA78" s="10" t="n">
        <x:f>XLOOKUP(B78,'日期维表'!$A$2:$A$43,'日期维表'!$F$2:$F$43,0)</x:f>
        <x:v>9</x:v>
      </x:c>
    </x:row>
    <x:row r="79" ht="15" hidden="0" customHeight="1">
      <x:c r="A79" s="10" t="str">
        <x:v>SO00078</x:v>
      </x:c>
      <x:c r="B79" s="10" t="n">
        <x:v>202401</x:v>
      </x:c>
      <x:c r="C79" s="10" t="n">
        <x:v>45302</x:v>
      </x:c>
      <x:c r="D79" s="10" t="n">
        <x:v>45309</x:v>
      </x:c>
      <x:c r="E79" s="10" t="n">
        <x:v>45309</x:v>
      </x:c>
      <x:c r="F79" s="10" t="n">
        <x:v>102</x:v>
      </x:c>
      <x:c r="G79" s="10" t="n">
        <x:v>2</x:v>
      </x:c>
      <x:c r="H79" s="10" t="n">
        <x:v>1</x:v>
      </x:c>
      <x:c r="I79" s="10" t="n">
        <x:v>6</x:v>
      </x:c>
      <x:c r="J79" s="10" t="n">
        <x:v>6</x:v>
      </x:c>
      <x:c r="K79" s="64" t="n">
        <x:v>2912.5</x:v>
      </x:c>
      <x:c r="L79" s="64" t="n">
        <x:v>18015.46</x:v>
      </x:c>
      <x:c r="M79" s="64" t="n">
        <x:v>540.46</x:v>
      </x:c>
      <x:c r="N79" s="64" t="n">
        <x:v>17475</x:v>
      </x:c>
      <x:c r="O79" s="64" t="n">
        <x:v>2228.32</x:v>
      </x:c>
      <x:c r="P79" s="64" t="n">
        <x:v>13369.94</x:v>
      </x:c>
      <x:c r="Q79" s="64" t="n">
        <x:v>4105.06</x:v>
      </x:c>
      <x:c r="R79" s="10" t="n">
        <x:v>7</x:v>
      </x:c>
      <x:c r="S79" s="10" t="n">
        <x:v>1</x:v>
      </x:c>
      <x:c r="T79" s="10" t="n">
        <x:v>1</x:v>
      </x:c>
      <x:c r="U79" s="10" t="str">
        <x:v>Completed</x:v>
      </x:c>
      <x:c r="V79" s="10" t="n">
        <x:v>15</x:v>
      </x:c>
      <x:c r="W79" s="10" t="str">
        <x:f>XLOOKUP(F79,'产品维表'!$A$2:$A$5,'产品维表'!$D$2:$D$5,"未映射")</x:f>
        <x:v>L</x:v>
      </x:c>
      <x:c r="X79" s="10" t="str">
        <x:f>XLOOKUP(F79,'产品维表'!$A$2:$A$5,'产品维表'!$B$2:$B$5,"未映射")</x:f>
        <x:v>L2</x:v>
      </x:c>
      <x:c r="Y79" s="10" t="str">
        <x:f>XLOOKUP(G79,'渠道维表'!$A$2:$A$4,'渠道维表'!$B$2:$B$4,"未映射")</x:f>
        <x:v>线下零售</x:v>
      </x:c>
      <x:c r="Z79" s="10" t="str">
        <x:f>XLOOKUP(H79,'区域维表'!$A$2:$A$5,'区域维表'!$B$2:$B$5,"未映射")</x:f>
        <x:v>华东</x:v>
      </x:c>
      <x:c r="AA79" s="10" t="n">
        <x:f>XLOOKUP(B79,'日期维表'!$A$2:$A$43,'日期维表'!$F$2:$F$43,0)</x:f>
        <x:v>9</x:v>
      </x:c>
    </x:row>
    <x:row r="80" ht="15" hidden="0" customHeight="1">
      <x:c r="A80" s="10" t="str">
        <x:v>SO00079</x:v>
      </x:c>
      <x:c r="B80" s="10" t="n">
        <x:v>202401</x:v>
      </x:c>
      <x:c r="C80" s="10" t="n">
        <x:v>45297</x:v>
      </x:c>
      <x:c r="D80" s="10" t="n">
        <x:v>45304</x:v>
      </x:c>
      <x:c r="E80" s="10" t="n">
        <x:v>45304</x:v>
      </x:c>
      <x:c r="F80" s="10" t="n">
        <x:v>101</x:v>
      </x:c>
      <x:c r="G80" s="10" t="n">
        <x:v>2</x:v>
      </x:c>
      <x:c r="H80" s="10" t="n">
        <x:v>3</x:v>
      </x:c>
      <x:c r="I80" s="10" t="n">
        <x:v>9</x:v>
      </x:c>
      <x:c r="J80" s="10" t="n">
        <x:v>9</x:v>
      </x:c>
      <x:c r="K80" s="64" t="n">
        <x:v>2731.22</x:v>
      </x:c>
      <x:c r="L80" s="64" t="n">
        <x:v>25341.24</x:v>
      </x:c>
      <x:c r="M80" s="64" t="n">
        <x:v>760.24</x:v>
      </x:c>
      <x:c r="N80" s="64" t="n">
        <x:v>24581</x:v>
      </x:c>
      <x:c r="O80" s="64" t="n">
        <x:v>1798.02</x:v>
      </x:c>
      <x:c r="P80" s="64" t="n">
        <x:v>16182.15</x:v>
      </x:c>
      <x:c r="Q80" s="64" t="n">
        <x:v>8398.85</x:v>
      </x:c>
      <x:c r="R80" s="10" t="n">
        <x:v>7</x:v>
      </x:c>
      <x:c r="S80" s="10" t="n">
        <x:v>1</x:v>
      </x:c>
      <x:c r="T80" s="10" t="n">
        <x:v>1</x:v>
      </x:c>
      <x:c r="U80" s="10" t="str">
        <x:v>Completed</x:v>
      </x:c>
      <x:c r="V80" s="10" t="n">
        <x:v>15</x:v>
      </x:c>
      <x:c r="W80" s="10" t="str">
        <x:f>XLOOKUP(F80,'产品维表'!$A$2:$A$5,'产品维表'!$D$2:$D$5,"未映射")</x:f>
        <x:v>L</x:v>
      </x:c>
      <x:c r="X80" s="10" t="str">
        <x:f>XLOOKUP(F80,'产品维表'!$A$2:$A$5,'产品维表'!$B$2:$B$5,"未映射")</x:f>
        <x:v>L1</x:v>
      </x:c>
      <x:c r="Y80" s="10" t="str">
        <x:f>XLOOKUP(G80,'渠道维表'!$A$2:$A$4,'渠道维表'!$B$2:$B$4,"未映射")</x:f>
        <x:v>线下零售</x:v>
      </x:c>
      <x:c r="Z80" s="10" t="str">
        <x:f>XLOOKUP(H80,'区域维表'!$A$2:$A$5,'区域维表'!$B$2:$B$5,"未映射")</x:f>
        <x:v>华北</x:v>
      </x:c>
      <x:c r="AA80" s="10" t="n">
        <x:f>XLOOKUP(B80,'日期维表'!$A$2:$A$43,'日期维表'!$F$2:$F$43,0)</x:f>
        <x:v>9</x:v>
      </x:c>
    </x:row>
    <x:row r="81" ht="15" hidden="0" customHeight="1">
      <x:c r="A81" s="10" t="str">
        <x:v>SO00080</x:v>
      </x:c>
      <x:c r="B81" s="10" t="n">
        <x:v>202401</x:v>
      </x:c>
      <x:c r="C81" s="10" t="n">
        <x:v>45296</x:v>
      </x:c>
      <x:c r="D81" s="10" t="n">
        <x:v>45302</x:v>
      </x:c>
      <x:c r="E81" s="10" t="n">
        <x:v>45302</x:v>
      </x:c>
      <x:c r="F81" s="10" t="n">
        <x:v>101</x:v>
      </x:c>
      <x:c r="G81" s="10" t="n">
        <x:v>2</x:v>
      </x:c>
      <x:c r="H81" s="10" t="n">
        <x:v>4</x:v>
      </x:c>
      <x:c r="I81" s="10" t="n">
        <x:v>10</x:v>
      </x:c>
      <x:c r="J81" s="10" t="n">
        <x:v>10</x:v>
      </x:c>
      <x:c r="K81" s="64" t="n">
        <x:v>2640.1</x:v>
      </x:c>
      <x:c r="L81" s="64" t="n">
        <x:v>27217.53</x:v>
      </x:c>
      <x:c r="M81" s="64" t="n">
        <x:v>816.53</x:v>
      </x:c>
      <x:c r="N81" s="64" t="n">
        <x:v>26401</x:v>
      </x:c>
      <x:c r="O81" s="64" t="n">
        <x:v>1856.23</x:v>
      </x:c>
      <x:c r="P81" s="64" t="n">
        <x:v>18562.32</x:v>
      </x:c>
      <x:c r="Q81" s="64" t="n">
        <x:v>7838.68</x:v>
      </x:c>
      <x:c r="R81" s="10" t="n">
        <x:v>6</x:v>
      </x:c>
      <x:c r="S81" s="10" t="n">
        <x:v>1</x:v>
      </x:c>
      <x:c r="T81" s="10" t="n">
        <x:v>1</x:v>
      </x:c>
      <x:c r="U81" s="10" t="str">
        <x:v>Completed</x:v>
      </x:c>
      <x:c r="V81" s="10" t="n">
        <x:v>15</x:v>
      </x:c>
      <x:c r="W81" s="10" t="str">
        <x:f>XLOOKUP(F81,'产品维表'!$A$2:$A$5,'产品维表'!$D$2:$D$5,"未映射")</x:f>
        <x:v>L</x:v>
      </x:c>
      <x:c r="X81" s="10" t="str">
        <x:f>XLOOKUP(F81,'产品维表'!$A$2:$A$5,'产品维表'!$B$2:$B$5,"未映射")</x:f>
        <x:v>L1</x:v>
      </x:c>
      <x:c r="Y81" s="10" t="str">
        <x:f>XLOOKUP(G81,'渠道维表'!$A$2:$A$4,'渠道维表'!$B$2:$B$4,"未映射")</x:f>
        <x:v>线下零售</x:v>
      </x:c>
      <x:c r="Z81" s="10" t="str">
        <x:f>XLOOKUP(H81,'区域维表'!$A$2:$A$5,'区域维表'!$B$2:$B$5,"未映射")</x:f>
        <x:v>中西部</x:v>
      </x:c>
      <x:c r="AA81" s="10" t="n">
        <x:f>XLOOKUP(B81,'日期维表'!$A$2:$A$43,'日期维表'!$F$2:$F$43,0)</x:f>
        <x:v>9</x:v>
      </x:c>
    </x:row>
    <x:row r="82" ht="15" hidden="0" customHeight="1">
      <x:c r="A82" s="10" t="str">
        <x:v>SO00081</x:v>
      </x:c>
      <x:c r="B82" s="10" t="n">
        <x:v>202402</x:v>
      </x:c>
      <x:c r="C82" s="10" t="n">
        <x:v>45337</x:v>
      </x:c>
      <x:c r="D82" s="10" t="n">
        <x:v>45345</x:v>
      </x:c>
      <x:c r="E82" s="10" t="n">
        <x:v>45345</x:v>
      </x:c>
      <x:c r="F82" s="10" t="n">
        <x:v>102</x:v>
      </x:c>
      <x:c r="G82" s="10" t="n">
        <x:v>1</x:v>
      </x:c>
      <x:c r="H82" s="10" t="n">
        <x:v>4</x:v>
      </x:c>
      <x:c r="I82" s="10" t="n">
        <x:v>6</x:v>
      </x:c>
      <x:c r="J82" s="10" t="n">
        <x:v>6</x:v>
      </x:c>
      <x:c r="K82" s="64" t="n">
        <x:v>2686.83</x:v>
      </x:c>
      <x:c r="L82" s="64" t="n">
        <x:v>16121</x:v>
      </x:c>
      <x:c r="M82" s="64" t="n">
        <x:v>0</x:v>
      </x:c>
      <x:c r="N82" s="64" t="n">
        <x:v>16121</x:v>
      </x:c>
      <x:c r="O82" s="64" t="n">
        <x:v>2231.4</x:v>
      </x:c>
      <x:c r="P82" s="64" t="n">
        <x:v>13388.37</x:v>
      </x:c>
      <x:c r="Q82" s="64" t="n">
        <x:v>2732.63</x:v>
      </x:c>
      <x:c r="R82" s="10" t="n">
        <x:v>8</x:v>
      </x:c>
      <x:c r="S82" s="10" t="n">
        <x:v>1</x:v>
      </x:c>
      <x:c r="T82" s="10" t="n">
        <x:v>1</x:v>
      </x:c>
      <x:c r="U82" s="10" t="str">
        <x:v>Completed</x:v>
      </x:c>
      <x:c r="V82" s="10" t="n">
        <x:v>0</x:v>
      </x:c>
      <x:c r="W82" s="10" t="str">
        <x:f>XLOOKUP(F82,'产品维表'!$A$2:$A$5,'产品维表'!$D$2:$D$5,"未映射")</x:f>
        <x:v>L</x:v>
      </x:c>
      <x:c r="X82" s="10" t="str">
        <x:f>XLOOKUP(F82,'产品维表'!$A$2:$A$5,'产品维表'!$B$2:$B$5,"未映射")</x:f>
        <x:v>L2</x:v>
      </x:c>
      <x:c r="Y82" s="10" t="str">
        <x:f>XLOOKUP(G82,'渠道维表'!$A$2:$A$4,'渠道维表'!$B$2:$B$4,"未映射")</x:f>
        <x:v>线上直营</x:v>
      </x:c>
      <x:c r="Z82" s="10" t="str">
        <x:f>XLOOKUP(H82,'区域维表'!$A$2:$A$5,'区域维表'!$B$2:$B$5,"未映射")</x:f>
        <x:v>中西部</x:v>
      </x:c>
      <x:c r="AA82" s="10" t="n">
        <x:f>XLOOKUP(B82,'日期维表'!$A$2:$A$43,'日期维表'!$F$2:$F$43,0)</x:f>
        <x:v>9</x:v>
      </x:c>
    </x:row>
    <x:row r="83" ht="15" hidden="0" customHeight="1">
      <x:c r="A83" s="10" t="str">
        <x:v>SO00082</x:v>
      </x:c>
      <x:c r="B83" s="10" t="n">
        <x:v>202402</x:v>
      </x:c>
      <x:c r="C83" s="10" t="n">
        <x:v>45332</x:v>
      </x:c>
      <x:c r="D83" s="10" t="n">
        <x:v>45341</x:v>
      </x:c>
      <x:c r="E83" s="10" t="n">
        <x:v>45341</x:v>
      </x:c>
      <x:c r="F83" s="10" t="n">
        <x:v>102</x:v>
      </x:c>
      <x:c r="G83" s="10" t="n">
        <x:v>1</x:v>
      </x:c>
      <x:c r="H83" s="10" t="n">
        <x:v>1</x:v>
      </x:c>
      <x:c r="I83" s="10" t="n">
        <x:v>5</x:v>
      </x:c>
      <x:c r="J83" s="10" t="n">
        <x:v>5</x:v>
      </x:c>
      <x:c r="K83" s="64" t="n">
        <x:v>2722</x:v>
      </x:c>
      <x:c r="L83" s="64" t="n">
        <x:v>13610</x:v>
      </x:c>
      <x:c r="M83" s="64" t="n">
        <x:v>0</x:v>
      </x:c>
      <x:c r="N83" s="64" t="n">
        <x:v>13610</x:v>
      </x:c>
      <x:c r="O83" s="64" t="n">
        <x:v>2209.65</x:v>
      </x:c>
      <x:c r="P83" s="64" t="n">
        <x:v>11048.25</x:v>
      </x:c>
      <x:c r="Q83" s="64" t="n">
        <x:v>2561.75</x:v>
      </x:c>
      <x:c r="R83" s="10" t="n">
        <x:v>9</x:v>
      </x:c>
      <x:c r="S83" s="10" t="n">
        <x:v>1</x:v>
      </x:c>
      <x:c r="T83" s="10" t="n">
        <x:v>1</x:v>
      </x:c>
      <x:c r="U83" s="10" t="str">
        <x:v>Completed</x:v>
      </x:c>
      <x:c r="V83" s="10" t="n">
        <x:v>0</x:v>
      </x:c>
      <x:c r="W83" s="10" t="str">
        <x:f>XLOOKUP(F83,'产品维表'!$A$2:$A$5,'产品维表'!$D$2:$D$5,"未映射")</x:f>
        <x:v>L</x:v>
      </x:c>
      <x:c r="X83" s="10" t="str">
        <x:f>XLOOKUP(F83,'产品维表'!$A$2:$A$5,'产品维表'!$B$2:$B$5,"未映射")</x:f>
        <x:v>L2</x:v>
      </x:c>
      <x:c r="Y83" s="10" t="str">
        <x:f>XLOOKUP(G83,'渠道维表'!$A$2:$A$4,'渠道维表'!$B$2:$B$4,"未映射")</x:f>
        <x:v>线上直营</x:v>
      </x:c>
      <x:c r="Z83" s="10" t="str">
        <x:f>XLOOKUP(H83,'区域维表'!$A$2:$A$5,'区域维表'!$B$2:$B$5,"未映射")</x:f>
        <x:v>华东</x:v>
      </x:c>
      <x:c r="AA83" s="10" t="n">
        <x:f>XLOOKUP(B83,'日期维表'!$A$2:$A$43,'日期维表'!$F$2:$F$43,0)</x:f>
        <x:v>9</x:v>
      </x:c>
    </x:row>
    <x:row r="84" ht="15" hidden="0" customHeight="1">
      <x:c r="A84" s="10" t="str">
        <x:v>SO00083</x:v>
      </x:c>
      <x:c r="B84" s="10" t="n">
        <x:v>202402</x:v>
      </x:c>
      <x:c r="C84" s="10" t="n">
        <x:v>45325</x:v>
      </x:c>
      <x:c r="D84" s="10" t="n">
        <x:v>45335</x:v>
      </x:c>
      <x:c r="E84" s="10" t="n">
        <x:v>45335</x:v>
      </x:c>
      <x:c r="F84" s="10" t="n">
        <x:v>102</x:v>
      </x:c>
      <x:c r="G84" s="10" t="n">
        <x:v>3</x:v>
      </x:c>
      <x:c r="H84" s="10" t="n">
        <x:v>1</x:v>
      </x:c>
      <x:c r="I84" s="10" t="n">
        <x:v>9</x:v>
      </x:c>
      <x:c r="J84" s="10" t="n">
        <x:v>9</x:v>
      </x:c>
      <x:c r="K84" s="64" t="n">
        <x:v>2926.89</x:v>
      </x:c>
      <x:c r="L84" s="64" t="n">
        <x:v>28947.25</x:v>
      </x:c>
      <x:c r="M84" s="64" t="n">
        <x:v>2605.25</x:v>
      </x:c>
      <x:c r="N84" s="64" t="n">
        <x:v>26342</x:v>
      </x:c>
      <x:c r="O84" s="64" t="n">
        <x:v>2207.32</x:v>
      </x:c>
      <x:c r="P84" s="64" t="n">
        <x:v>19865.9</x:v>
      </x:c>
      <x:c r="Q84" s="64" t="n">
        <x:v>6476.1</x:v>
      </x:c>
      <x:c r="R84" s="10" t="n">
        <x:v>10</x:v>
      </x:c>
      <x:c r="S84" s="10" t="n">
        <x:v>1</x:v>
      </x:c>
      <x:c r="T84" s="10" t="n">
        <x:v>1</x:v>
      </x:c>
      <x:c r="U84" s="10" t="str">
        <x:v>Completed</x:v>
      </x:c>
      <x:c r="V84" s="10" t="n">
        <x:v>30</x:v>
      </x:c>
      <x:c r="W84" s="10" t="str">
        <x:f>XLOOKUP(F84,'产品维表'!$A$2:$A$5,'产品维表'!$D$2:$D$5,"未映射")</x:f>
        <x:v>L</x:v>
      </x:c>
      <x:c r="X84" s="10" t="str">
        <x:f>XLOOKUP(F84,'产品维表'!$A$2:$A$5,'产品维表'!$B$2:$B$5,"未映射")</x:f>
        <x:v>L2</x:v>
      </x:c>
      <x:c r="Y84" s="10" t="str">
        <x:f>XLOOKUP(G84,'渠道维表'!$A$2:$A$4,'渠道维表'!$B$2:$B$4,"未映射")</x:f>
        <x:v>区域经销</x:v>
      </x:c>
      <x:c r="Z84" s="10" t="str">
        <x:f>XLOOKUP(H84,'区域维表'!$A$2:$A$5,'区域维表'!$B$2:$B$5,"未映射")</x:f>
        <x:v>华东</x:v>
      </x:c>
      <x:c r="AA84" s="10" t="n">
        <x:f>XLOOKUP(B84,'日期维表'!$A$2:$A$43,'日期维表'!$F$2:$F$43,0)</x:f>
        <x:v>9</x:v>
      </x:c>
    </x:row>
    <x:row r="85" ht="15" hidden="0" customHeight="1">
      <x:c r="A85" s="10" t="str">
        <x:v>SO00084</x:v>
      </x:c>
      <x:c r="B85" s="10" t="n">
        <x:v>202402</x:v>
      </x:c>
      <x:c r="C85" s="10" t="n">
        <x:v>45339</x:v>
      </x:c>
      <x:c r="D85" s="10" t="n">
        <x:v>45345</x:v>
      </x:c>
      <x:c r="E85" s="10" t="n">
        <x:v>45345</x:v>
      </x:c>
      <x:c r="F85" s="10" t="n">
        <x:v>101</x:v>
      </x:c>
      <x:c r="G85" s="10" t="n">
        <x:v>3</x:v>
      </x:c>
      <x:c r="H85" s="10" t="n">
        <x:v>3</x:v>
      </x:c>
      <x:c r="I85" s="10" t="n">
        <x:v>6</x:v>
      </x:c>
      <x:c r="J85" s="10" t="n">
        <x:v>6</x:v>
      </x:c>
      <x:c r="K85" s="64" t="n">
        <x:v>2932.17</x:v>
      </x:c>
      <x:c r="L85" s="64" t="n">
        <x:v>19332.97</x:v>
      </x:c>
      <x:c r="M85" s="64" t="n">
        <x:v>1739.97</x:v>
      </x:c>
      <x:c r="N85" s="64" t="n">
        <x:v>17593</x:v>
      </x:c>
      <x:c r="O85" s="64" t="n">
        <x:v>1849.03</x:v>
      </x:c>
      <x:c r="P85" s="64" t="n">
        <x:v>11094.21</x:v>
      </x:c>
      <x:c r="Q85" s="64" t="n">
        <x:v>6498.79</x:v>
      </x:c>
      <x:c r="R85" s="10" t="n">
        <x:v>6</x:v>
      </x:c>
      <x:c r="S85" s="10" t="n">
        <x:v>1</x:v>
      </x:c>
      <x:c r="T85" s="10" t="n">
        <x:v>1</x:v>
      </x:c>
      <x:c r="U85" s="10" t="str">
        <x:v>Completed</x:v>
      </x:c>
      <x:c r="V85" s="10" t="n">
        <x:v>30</x:v>
      </x:c>
      <x:c r="W85" s="10" t="str">
        <x:f>XLOOKUP(F85,'产品维表'!$A$2:$A$5,'产品维表'!$D$2:$D$5,"未映射")</x:f>
        <x:v>L</x:v>
      </x:c>
      <x:c r="X85" s="10" t="str">
        <x:f>XLOOKUP(F85,'产品维表'!$A$2:$A$5,'产品维表'!$B$2:$B$5,"未映射")</x:f>
        <x:v>L1</x:v>
      </x:c>
      <x:c r="Y85" s="10" t="str">
        <x:f>XLOOKUP(G85,'渠道维表'!$A$2:$A$4,'渠道维表'!$B$2:$B$4,"未映射")</x:f>
        <x:v>区域经销</x:v>
      </x:c>
      <x:c r="Z85" s="10" t="str">
        <x:f>XLOOKUP(H85,'区域维表'!$A$2:$A$5,'区域维表'!$B$2:$B$5,"未映射")</x:f>
        <x:v>华北</x:v>
      </x:c>
      <x:c r="AA85" s="10" t="n">
        <x:f>XLOOKUP(B85,'日期维表'!$A$2:$A$43,'日期维表'!$F$2:$F$43,0)</x:f>
        <x:v>9</x:v>
      </x:c>
    </x:row>
    <x:row r="86" ht="15" hidden="0" customHeight="1">
      <x:c r="A86" s="10" t="str">
        <x:v>SO00085</x:v>
      </x:c>
      <x:c r="B86" s="10" t="n">
        <x:v>202402</x:v>
      </x:c>
      <x:c r="C86" s="10" t="n">
        <x:v>45344</x:v>
      </x:c>
      <x:c r="D86" s="10" t="n">
        <x:v>45353</x:v>
      </x:c>
      <x:c r="E86" s="10" t="n">
        <x:v>45353</x:v>
      </x:c>
      <x:c r="F86" s="10" t="n">
        <x:v>101</x:v>
      </x:c>
      <x:c r="G86" s="10" t="n">
        <x:v>2</x:v>
      </x:c>
      <x:c r="H86" s="10" t="n">
        <x:v>1</x:v>
      </x:c>
      <x:c r="I86" s="10" t="n">
        <x:v>10</x:v>
      </x:c>
      <x:c r="J86" s="10" t="n">
        <x:v>10</x:v>
      </x:c>
      <x:c r="K86" s="64" t="n">
        <x:v>2639.6</x:v>
      </x:c>
      <x:c r="L86" s="64" t="n">
        <x:v>27212.37</x:v>
      </x:c>
      <x:c r="M86" s="64" t="n">
        <x:v>816.37</x:v>
      </x:c>
      <x:c r="N86" s="64" t="n">
        <x:v>26396</x:v>
      </x:c>
      <x:c r="O86" s="64" t="n">
        <x:v>1820.04</x:v>
      </x:c>
      <x:c r="P86" s="64" t="n">
        <x:v>18200.37</x:v>
      </x:c>
      <x:c r="Q86" s="64" t="n">
        <x:v>8195.63</x:v>
      </x:c>
      <x:c r="R86" s="10" t="n">
        <x:v>9</x:v>
      </x:c>
      <x:c r="S86" s="10" t="n">
        <x:v>1</x:v>
      </x:c>
      <x:c r="T86" s="10" t="n">
        <x:v>1</x:v>
      </x:c>
      <x:c r="U86" s="10" t="str">
        <x:v>Completed</x:v>
      </x:c>
      <x:c r="V86" s="10" t="n">
        <x:v>15</x:v>
      </x:c>
      <x:c r="W86" s="10" t="str">
        <x:f>XLOOKUP(F86,'产品维表'!$A$2:$A$5,'产品维表'!$D$2:$D$5,"未映射")</x:f>
        <x:v>L</x:v>
      </x:c>
      <x:c r="X86" s="10" t="str">
        <x:f>XLOOKUP(F86,'产品维表'!$A$2:$A$5,'产品维表'!$B$2:$B$5,"未映射")</x:f>
        <x:v>L1</x:v>
      </x:c>
      <x:c r="Y86" s="10" t="str">
        <x:f>XLOOKUP(G86,'渠道维表'!$A$2:$A$4,'渠道维表'!$B$2:$B$4,"未映射")</x:f>
        <x:v>线下零售</x:v>
      </x:c>
      <x:c r="Z86" s="10" t="str">
        <x:f>XLOOKUP(H86,'区域维表'!$A$2:$A$5,'区域维表'!$B$2:$B$5,"未映射")</x:f>
        <x:v>华东</x:v>
      </x:c>
      <x:c r="AA86" s="10" t="n">
        <x:f>XLOOKUP(B86,'日期维表'!$A$2:$A$43,'日期维表'!$F$2:$F$43,0)</x:f>
        <x:v>9</x:v>
      </x:c>
    </x:row>
    <x:row r="87" ht="15" hidden="0" customHeight="1">
      <x:c r="A87" s="10" t="str">
        <x:v>SO00086</x:v>
      </x:c>
      <x:c r="B87" s="10" t="n">
        <x:v>202402</x:v>
      </x:c>
      <x:c r="C87" s="10" t="n">
        <x:v>45325</x:v>
      </x:c>
      <x:c r="D87" s="10" t="n">
        <x:v>45333</x:v>
      </x:c>
      <x:c r="E87" s="10" t="n">
        <x:v>45333</x:v>
      </x:c>
      <x:c r="F87" s="10" t="n">
        <x:v>102</x:v>
      </x:c>
      <x:c r="G87" s="10" t="n">
        <x:v>3</x:v>
      </x:c>
      <x:c r="H87" s="10" t="n">
        <x:v>3</x:v>
      </x:c>
      <x:c r="I87" s="10" t="n">
        <x:v>7</x:v>
      </x:c>
      <x:c r="J87" s="10" t="n">
        <x:v>7</x:v>
      </x:c>
      <x:c r="K87" s="64" t="n">
        <x:v>2640.14</x:v>
      </x:c>
      <x:c r="L87" s="64" t="n">
        <x:v>20308.79</x:v>
      </x:c>
      <x:c r="M87" s="64" t="n">
        <x:v>1827.79</x:v>
      </x:c>
      <x:c r="N87" s="64" t="n">
        <x:v>18481</x:v>
      </x:c>
      <x:c r="O87" s="64" t="n">
        <x:v>1920.82</x:v>
      </x:c>
      <x:c r="P87" s="64" t="n">
        <x:v>13445.75</x:v>
      </x:c>
      <x:c r="Q87" s="64" t="n">
        <x:v>5035.25</x:v>
      </x:c>
      <x:c r="R87" s="10" t="n">
        <x:v>8</x:v>
      </x:c>
      <x:c r="S87" s="10" t="n">
        <x:v>1</x:v>
      </x:c>
      <x:c r="T87" s="10" t="n">
        <x:v>1</x:v>
      </x:c>
      <x:c r="U87" s="10" t="str">
        <x:v>Completed</x:v>
      </x:c>
      <x:c r="V87" s="10" t="n">
        <x:v>30</x:v>
      </x:c>
      <x:c r="W87" s="10" t="str">
        <x:f>XLOOKUP(F87,'产品维表'!$A$2:$A$5,'产品维表'!$D$2:$D$5,"未映射")</x:f>
        <x:v>L</x:v>
      </x:c>
      <x:c r="X87" s="10" t="str">
        <x:f>XLOOKUP(F87,'产品维表'!$A$2:$A$5,'产品维表'!$B$2:$B$5,"未映射")</x:f>
        <x:v>L2</x:v>
      </x:c>
      <x:c r="Y87" s="10" t="str">
        <x:f>XLOOKUP(G87,'渠道维表'!$A$2:$A$4,'渠道维表'!$B$2:$B$4,"未映射")</x:f>
        <x:v>区域经销</x:v>
      </x:c>
      <x:c r="Z87" s="10" t="str">
        <x:f>XLOOKUP(H87,'区域维表'!$A$2:$A$5,'区域维表'!$B$2:$B$5,"未映射")</x:f>
        <x:v>华北</x:v>
      </x:c>
      <x:c r="AA87" s="10" t="n">
        <x:f>XLOOKUP(B87,'日期维表'!$A$2:$A$43,'日期维表'!$F$2:$F$43,0)</x:f>
        <x:v>9</x:v>
      </x:c>
    </x:row>
    <x:row r="88" ht="15" hidden="0" customHeight="1">
      <x:c r="A88" s="10" t="str">
        <x:v>SO00087</x:v>
      </x:c>
      <x:c r="B88" s="10" t="n">
        <x:v>202402</x:v>
      </x:c>
      <x:c r="C88" s="10" t="n">
        <x:v>45342</x:v>
      </x:c>
      <x:c r="D88" s="10" t="n">
        <x:v>45349</x:v>
      </x:c>
      <x:c r="E88" s="10" t="n">
        <x:v>45349</x:v>
      </x:c>
      <x:c r="F88" s="10" t="n">
        <x:v>101</x:v>
      </x:c>
      <x:c r="G88" s="10" t="n">
        <x:v>3</x:v>
      </x:c>
      <x:c r="H88" s="10" t="n">
        <x:v>1</x:v>
      </x:c>
      <x:c r="I88" s="10" t="n">
        <x:v>11</x:v>
      </x:c>
      <x:c r="J88" s="10" t="n">
        <x:v>11</x:v>
      </x:c>
      <x:c r="K88" s="64" t="n">
        <x:v>2607.82</x:v>
      </x:c>
      <x:c r="L88" s="64" t="n">
        <x:v>31523.08</x:v>
      </x:c>
      <x:c r="M88" s="64" t="n">
        <x:v>2837.08</x:v>
      </x:c>
      <x:c r="N88" s="64" t="n">
        <x:v>28686</x:v>
      </x:c>
      <x:c r="O88" s="64" t="n">
        <x:v>1826.7</x:v>
      </x:c>
      <x:c r="P88" s="64" t="n">
        <x:v>20093.75</x:v>
      </x:c>
      <x:c r="Q88" s="64" t="n">
        <x:v>8592.25</x:v>
      </x:c>
      <x:c r="R88" s="10" t="n">
        <x:v>7</x:v>
      </x:c>
      <x:c r="S88" s="10" t="n">
        <x:v>1</x:v>
      </x:c>
      <x:c r="T88" s="10" t="n">
        <x:v>1</x:v>
      </x:c>
      <x:c r="U88" s="10" t="str">
        <x:v>Completed</x:v>
      </x:c>
      <x:c r="V88" s="10" t="n">
        <x:v>30</x:v>
      </x:c>
      <x:c r="W88" s="10" t="str">
        <x:f>XLOOKUP(F88,'产品维表'!$A$2:$A$5,'产品维表'!$D$2:$D$5,"未映射")</x:f>
        <x:v>L</x:v>
      </x:c>
      <x:c r="X88" s="10" t="str">
        <x:f>XLOOKUP(F88,'产品维表'!$A$2:$A$5,'产品维表'!$B$2:$B$5,"未映射")</x:f>
        <x:v>L1</x:v>
      </x:c>
      <x:c r="Y88" s="10" t="str">
        <x:f>XLOOKUP(G88,'渠道维表'!$A$2:$A$4,'渠道维表'!$B$2:$B$4,"未映射")</x:f>
        <x:v>区域经销</x:v>
      </x:c>
      <x:c r="Z88" s="10" t="str">
        <x:f>XLOOKUP(H88,'区域维表'!$A$2:$A$5,'区域维表'!$B$2:$B$5,"未映射")</x:f>
        <x:v>华东</x:v>
      </x:c>
      <x:c r="AA88" s="10" t="n">
        <x:f>XLOOKUP(B88,'日期维表'!$A$2:$A$43,'日期维表'!$F$2:$F$43,0)</x:f>
        <x:v>9</x:v>
      </x:c>
    </x:row>
    <x:row r="89" ht="15" hidden="0" customHeight="1">
      <x:c r="A89" s="10" t="str">
        <x:v>SO00088</x:v>
      </x:c>
      <x:c r="B89" s="10" t="n">
        <x:v>202402</x:v>
      </x:c>
      <x:c r="C89" s="10" t="n">
        <x:v>45340</x:v>
      </x:c>
      <x:c r="D89" s="10" t="n">
        <x:v>45350</x:v>
      </x:c>
      <x:c r="E89" s="10" t="n">
        <x:v>45350</x:v>
      </x:c>
      <x:c r="F89" s="10" t="n">
        <x:v>102</x:v>
      </x:c>
      <x:c r="G89" s="10" t="n">
        <x:v>1</x:v>
      </x:c>
      <x:c r="H89" s="10" t="n">
        <x:v>2</x:v>
      </x:c>
      <x:c r="I89" s="10" t="n">
        <x:v>10</x:v>
      </x:c>
      <x:c r="J89" s="10" t="n">
        <x:v>10</x:v>
      </x:c>
      <x:c r="K89" s="64" t="n">
        <x:v>2924.8</x:v>
      </x:c>
      <x:c r="L89" s="64" t="n">
        <x:v>29248</x:v>
      </x:c>
      <x:c r="M89" s="64" t="n">
        <x:v>0</x:v>
      </x:c>
      <x:c r="N89" s="64" t="n">
        <x:v>29248</x:v>
      </x:c>
      <x:c r="O89" s="64" t="n">
        <x:v>2234.13</x:v>
      </x:c>
      <x:c r="P89" s="64" t="n">
        <x:v>22341.32</x:v>
      </x:c>
      <x:c r="Q89" s="64" t="n">
        <x:v>6906.68</x:v>
      </x:c>
      <x:c r="R89" s="10" t="n">
        <x:v>10</x:v>
      </x:c>
      <x:c r="S89" s="10" t="n">
        <x:v>1</x:v>
      </x:c>
      <x:c r="T89" s="10" t="n">
        <x:v>1</x:v>
      </x:c>
      <x:c r="U89" s="10" t="str">
        <x:v>Completed</x:v>
      </x:c>
      <x:c r="V89" s="10" t="n">
        <x:v>0</x:v>
      </x:c>
      <x:c r="W89" s="10" t="str">
        <x:f>XLOOKUP(F89,'产品维表'!$A$2:$A$5,'产品维表'!$D$2:$D$5,"未映射")</x:f>
        <x:v>L</x:v>
      </x:c>
      <x:c r="X89" s="10" t="str">
        <x:f>XLOOKUP(F89,'产品维表'!$A$2:$A$5,'产品维表'!$B$2:$B$5,"未映射")</x:f>
        <x:v>L2</x:v>
      </x:c>
      <x:c r="Y89" s="10" t="str">
        <x:f>XLOOKUP(G89,'渠道维表'!$A$2:$A$4,'渠道维表'!$B$2:$B$4,"未映射")</x:f>
        <x:v>线上直营</x:v>
      </x:c>
      <x:c r="Z89" s="10" t="str">
        <x:f>XLOOKUP(H89,'区域维表'!$A$2:$A$5,'区域维表'!$B$2:$B$5,"未映射")</x:f>
        <x:v>华南</x:v>
      </x:c>
      <x:c r="AA89" s="10" t="n">
        <x:f>XLOOKUP(B89,'日期维表'!$A$2:$A$43,'日期维表'!$F$2:$F$43,0)</x:f>
        <x:v>9</x:v>
      </x:c>
    </x:row>
    <x:row r="90" ht="15" hidden="0" customHeight="1">
      <x:c r="A90" s="10" t="str">
        <x:v>SO00089</x:v>
      </x:c>
      <x:c r="B90" s="10" t="n">
        <x:v>202403</x:v>
      </x:c>
      <x:c r="C90" s="10" t="n">
        <x:v>45362</x:v>
      </x:c>
      <x:c r="D90" s="10" t="n">
        <x:v>45374</x:v>
      </x:c>
      <x:c r="E90" s="10" t="n">
        <x:v>45374</x:v>
      </x:c>
      <x:c r="F90" s="10" t="n">
        <x:v>101</x:v>
      </x:c>
      <x:c r="G90" s="10" t="n">
        <x:v>3</x:v>
      </x:c>
      <x:c r="H90" s="10" t="n">
        <x:v>2</x:v>
      </x:c>
      <x:c r="I90" s="10" t="n">
        <x:v>14</x:v>
      </x:c>
      <x:c r="J90" s="10" t="n">
        <x:v>14</x:v>
      </x:c>
      <x:c r="K90" s="64" t="n">
        <x:v>2813.29</x:v>
      </x:c>
      <x:c r="L90" s="64" t="n">
        <x:v>43281.32</x:v>
      </x:c>
      <x:c r="M90" s="64" t="n">
        <x:v>3895.32</x:v>
      </x:c>
      <x:c r="N90" s="64" t="n">
        <x:v>39386</x:v>
      </x:c>
      <x:c r="O90" s="64" t="n">
        <x:v>1807.41</x:v>
      </x:c>
      <x:c r="P90" s="64" t="n">
        <x:v>25303.77</x:v>
      </x:c>
      <x:c r="Q90" s="64" t="n">
        <x:v>14082.23</x:v>
      </x:c>
      <x:c r="R90" s="10" t="n">
        <x:v>12</x:v>
      </x:c>
      <x:c r="S90" s="10" t="n">
        <x:v>1</x:v>
      </x:c>
      <x:c r="T90" s="10" t="n">
        <x:v>1</x:v>
      </x:c>
      <x:c r="U90" s="10" t="str">
        <x:v>Completed</x:v>
      </x:c>
      <x:c r="V90" s="10" t="n">
        <x:v>30</x:v>
      </x:c>
      <x:c r="W90" s="10" t="str">
        <x:f>XLOOKUP(F90,'产品维表'!$A$2:$A$5,'产品维表'!$D$2:$D$5,"未映射")</x:f>
        <x:v>L</x:v>
      </x:c>
      <x:c r="X90" s="10" t="str">
        <x:f>XLOOKUP(F90,'产品维表'!$A$2:$A$5,'产品维表'!$B$2:$B$5,"未映射")</x:f>
        <x:v>L1</x:v>
      </x:c>
      <x:c r="Y90" s="10" t="str">
        <x:f>XLOOKUP(G90,'渠道维表'!$A$2:$A$4,'渠道维表'!$B$2:$B$4,"未映射")</x:f>
        <x:v>区域经销</x:v>
      </x:c>
      <x:c r="Z90" s="10" t="str">
        <x:f>XLOOKUP(H90,'区域维表'!$A$2:$A$5,'区域维表'!$B$2:$B$5,"未映射")</x:f>
        <x:v>华南</x:v>
      </x:c>
      <x:c r="AA90" s="10" t="n">
        <x:f>XLOOKUP(B90,'日期维表'!$A$2:$A$43,'日期维表'!$F$2:$F$43,0)</x:f>
        <x:v>9</x:v>
      </x:c>
    </x:row>
    <x:row r="91" ht="15" hidden="0" customHeight="1">
      <x:c r="A91" s="10" t="str">
        <x:v>SO00090</x:v>
      </x:c>
      <x:c r="B91" s="10" t="n">
        <x:v>202403</x:v>
      </x:c>
      <x:c r="C91" s="10" t="n">
        <x:v>45360</x:v>
      </x:c>
      <x:c r="D91" s="10" t="n">
        <x:v>45366</x:v>
      </x:c>
      <x:c r="E91" s="10" t="n">
        <x:v>45366</x:v>
      </x:c>
      <x:c r="F91" s="10" t="n">
        <x:v>101</x:v>
      </x:c>
      <x:c r="G91" s="10" t="n">
        <x:v>2</x:v>
      </x:c>
      <x:c r="H91" s="10" t="n">
        <x:v>4</x:v>
      </x:c>
      <x:c r="I91" s="10" t="n">
        <x:v>8</x:v>
      </x:c>
      <x:c r="J91" s="10" t="n">
        <x:v>8</x:v>
      </x:c>
      <x:c r="K91" s="64" t="n">
        <x:v>2917.25</x:v>
      </x:c>
      <x:c r="L91" s="64" t="n">
        <x:v>24059.79</x:v>
      </x:c>
      <x:c r="M91" s="64" t="n">
        <x:v>721.79</x:v>
      </x:c>
      <x:c r="N91" s="64" t="n">
        <x:v>23338</x:v>
      </x:c>
      <x:c r="O91" s="64" t="n">
        <x:v>1813.74</x:v>
      </x:c>
      <x:c r="P91" s="64" t="n">
        <x:v>14509.94</x:v>
      </x:c>
      <x:c r="Q91" s="64" t="n">
        <x:v>8828.06</x:v>
      </x:c>
      <x:c r="R91" s="10" t="n">
        <x:v>6</x:v>
      </x:c>
      <x:c r="S91" s="10" t="n">
        <x:v>1</x:v>
      </x:c>
      <x:c r="T91" s="10" t="n">
        <x:v>1</x:v>
      </x:c>
      <x:c r="U91" s="10" t="str">
        <x:v>Completed</x:v>
      </x:c>
      <x:c r="V91" s="10" t="n">
        <x:v>15</x:v>
      </x:c>
      <x:c r="W91" s="10" t="str">
        <x:f>XLOOKUP(F91,'产品维表'!$A$2:$A$5,'产品维表'!$D$2:$D$5,"未映射")</x:f>
        <x:v>L</x:v>
      </x:c>
      <x:c r="X91" s="10" t="str">
        <x:f>XLOOKUP(F91,'产品维表'!$A$2:$A$5,'产品维表'!$B$2:$B$5,"未映射")</x:f>
        <x:v>L1</x:v>
      </x:c>
      <x:c r="Y91" s="10" t="str">
        <x:f>XLOOKUP(G91,'渠道维表'!$A$2:$A$4,'渠道维表'!$B$2:$B$4,"未映射")</x:f>
        <x:v>线下零售</x:v>
      </x:c>
      <x:c r="Z91" s="10" t="str">
        <x:f>XLOOKUP(H91,'区域维表'!$A$2:$A$5,'区域维表'!$B$2:$B$5,"未映射")</x:f>
        <x:v>中西部</x:v>
      </x:c>
      <x:c r="AA91" s="10" t="n">
        <x:f>XLOOKUP(B91,'日期维表'!$A$2:$A$43,'日期维表'!$F$2:$F$43,0)</x:f>
        <x:v>9</x:v>
      </x:c>
    </x:row>
    <x:row r="92" ht="15" hidden="0" customHeight="1">
      <x:c r="A92" s="10" t="str">
        <x:v>SO00091</x:v>
      </x:c>
      <x:c r="B92" s="10" t="n">
        <x:v>202403</x:v>
      </x:c>
      <x:c r="C92" s="10" t="n">
        <x:v>45358</x:v>
      </x:c>
      <x:c r="D92" s="10" t="n">
        <x:v>45369</x:v>
      </x:c>
      <x:c r="E92" s="10" t="n">
        <x:v>45369</x:v>
      </x:c>
      <x:c r="F92" s="10" t="n">
        <x:v>101</x:v>
      </x:c>
      <x:c r="G92" s="10" t="n">
        <x:v>3</x:v>
      </x:c>
      <x:c r="H92" s="10" t="n">
        <x:v>4</x:v>
      </x:c>
      <x:c r="I92" s="10" t="n">
        <x:v>6</x:v>
      </x:c>
      <x:c r="J92" s="10" t="n">
        <x:v>6</x:v>
      </x:c>
      <x:c r="K92" s="64" t="n">
        <x:v>2620.83</x:v>
      </x:c>
      <x:c r="L92" s="64" t="n">
        <x:v>17280.22</x:v>
      </x:c>
      <x:c r="M92" s="64" t="n">
        <x:v>1555.22</x:v>
      </x:c>
      <x:c r="N92" s="64" t="n">
        <x:v>15725</x:v>
      </x:c>
      <x:c r="O92" s="64" t="n">
        <x:v>1829.77</x:v>
      </x:c>
      <x:c r="P92" s="64" t="n">
        <x:v>10978.65</x:v>
      </x:c>
      <x:c r="Q92" s="64" t="n">
        <x:v>4746.35</x:v>
      </x:c>
      <x:c r="R92" s="10" t="n">
        <x:v>11</x:v>
      </x:c>
      <x:c r="S92" s="10" t="n">
        <x:v>1</x:v>
      </x:c>
      <x:c r="T92" s="10" t="n">
        <x:v>1</x:v>
      </x:c>
      <x:c r="U92" s="10" t="str">
        <x:v>Completed</x:v>
      </x:c>
      <x:c r="V92" s="10" t="n">
        <x:v>30</x:v>
      </x:c>
      <x:c r="W92" s="10" t="str">
        <x:f>XLOOKUP(F92,'产品维表'!$A$2:$A$5,'产品维表'!$D$2:$D$5,"未映射")</x:f>
        <x:v>L</x:v>
      </x:c>
      <x:c r="X92" s="10" t="str">
        <x:f>XLOOKUP(F92,'产品维表'!$A$2:$A$5,'产品维表'!$B$2:$B$5,"未映射")</x:f>
        <x:v>L1</x:v>
      </x:c>
      <x:c r="Y92" s="10" t="str">
        <x:f>XLOOKUP(G92,'渠道维表'!$A$2:$A$4,'渠道维表'!$B$2:$B$4,"未映射")</x:f>
        <x:v>区域经销</x:v>
      </x:c>
      <x:c r="Z92" s="10" t="str">
        <x:f>XLOOKUP(H92,'区域维表'!$A$2:$A$5,'区域维表'!$B$2:$B$5,"未映射")</x:f>
        <x:v>中西部</x:v>
      </x:c>
      <x:c r="AA92" s="10" t="n">
        <x:f>XLOOKUP(B92,'日期维表'!$A$2:$A$43,'日期维表'!$F$2:$F$43,0)</x:f>
        <x:v>9</x:v>
      </x:c>
    </x:row>
    <x:row r="93" ht="15" hidden="0" customHeight="1">
      <x:c r="A93" s="10" t="str">
        <x:v>SO00092</x:v>
      </x:c>
      <x:c r="B93" s="10" t="n">
        <x:v>202403</x:v>
      </x:c>
      <x:c r="C93" s="10" t="n">
        <x:v>45360</x:v>
      </x:c>
      <x:c r="D93" s="10" t="n">
        <x:v>45368</x:v>
      </x:c>
      <x:c r="E93" s="10" t="n">
        <x:v>45368</x:v>
      </x:c>
      <x:c r="F93" s="10" t="n">
        <x:v>101</x:v>
      </x:c>
      <x:c r="G93" s="10" t="n">
        <x:v>2</x:v>
      </x:c>
      <x:c r="H93" s="10" t="n">
        <x:v>2</x:v>
      </x:c>
      <x:c r="I93" s="10" t="n">
        <x:v>15</x:v>
      </x:c>
      <x:c r="J93" s="10" t="n">
        <x:v>15</x:v>
      </x:c>
      <x:c r="K93" s="64" t="n">
        <x:v>2771.47</x:v>
      </x:c>
      <x:c r="L93" s="64" t="n">
        <x:v>42857.73</x:v>
      </x:c>
      <x:c r="M93" s="64" t="n">
        <x:v>1285.73</x:v>
      </x:c>
      <x:c r="N93" s="64" t="n">
        <x:v>41572</x:v>
      </x:c>
      <x:c r="O93" s="64" t="n">
        <x:v>1869.84</x:v>
      </x:c>
      <x:c r="P93" s="64" t="n">
        <x:v>28047.58</x:v>
      </x:c>
      <x:c r="Q93" s="64" t="n">
        <x:v>13524.42</x:v>
      </x:c>
      <x:c r="R93" s="10" t="n">
        <x:v>8</x:v>
      </x:c>
      <x:c r="S93" s="10" t="n">
        <x:v>1</x:v>
      </x:c>
      <x:c r="T93" s="10" t="n">
        <x:v>1</x:v>
      </x:c>
      <x:c r="U93" s="10" t="str">
        <x:v>Completed</x:v>
      </x:c>
      <x:c r="V93" s="10" t="n">
        <x:v>15</x:v>
      </x:c>
      <x:c r="W93" s="10" t="str">
        <x:f>XLOOKUP(F93,'产品维表'!$A$2:$A$5,'产品维表'!$D$2:$D$5,"未映射")</x:f>
        <x:v>L</x:v>
      </x:c>
      <x:c r="X93" s="10" t="str">
        <x:f>XLOOKUP(F93,'产品维表'!$A$2:$A$5,'产品维表'!$B$2:$B$5,"未映射")</x:f>
        <x:v>L1</x:v>
      </x:c>
      <x:c r="Y93" s="10" t="str">
        <x:f>XLOOKUP(G93,'渠道维表'!$A$2:$A$4,'渠道维表'!$B$2:$B$4,"未映射")</x:f>
        <x:v>线下零售</x:v>
      </x:c>
      <x:c r="Z93" s="10" t="str">
        <x:f>XLOOKUP(H93,'区域维表'!$A$2:$A$5,'区域维表'!$B$2:$B$5,"未映射")</x:f>
        <x:v>华南</x:v>
      </x:c>
      <x:c r="AA93" s="10" t="n">
        <x:f>XLOOKUP(B93,'日期维表'!$A$2:$A$43,'日期维表'!$F$2:$F$43,0)</x:f>
        <x:v>9</x:v>
      </x:c>
    </x:row>
    <x:row r="94" ht="15" hidden="0" customHeight="1">
      <x:c r="A94" s="10" t="str">
        <x:v>SO00093</x:v>
      </x:c>
      <x:c r="B94" s="10" t="n">
        <x:v>202403</x:v>
      </x:c>
      <x:c r="C94" s="10" t="n">
        <x:v>45369</x:v>
      </x:c>
      <x:c r="D94" s="10" t="n">
        <x:v>45381</x:v>
      </x:c>
      <x:c r="E94" s="10" t="n">
        <x:v>45381</x:v>
      </x:c>
      <x:c r="F94" s="10" t="n">
        <x:v>101</x:v>
      </x:c>
      <x:c r="G94" s="10" t="n">
        <x:v>3</x:v>
      </x:c>
      <x:c r="H94" s="10" t="n">
        <x:v>1</x:v>
      </x:c>
      <x:c r="I94" s="10" t="n">
        <x:v>9</x:v>
      </x:c>
      <x:c r="J94" s="10" t="n">
        <x:v>9</x:v>
      </x:c>
      <x:c r="K94" s="64" t="n">
        <x:v>2579.89</x:v>
      </x:c>
      <x:c r="L94" s="64" t="n">
        <x:v>25515.38</x:v>
      </x:c>
      <x:c r="M94" s="64" t="n">
        <x:v>2296.38</x:v>
      </x:c>
      <x:c r="N94" s="64" t="n">
        <x:v>23219</x:v>
      </x:c>
      <x:c r="O94" s="64" t="n">
        <x:v>1821.68</x:v>
      </x:c>
      <x:c r="P94" s="64" t="n">
        <x:v>16395.09</x:v>
      </x:c>
      <x:c r="Q94" s="64" t="n">
        <x:v>6823.91</x:v>
      </x:c>
      <x:c r="R94" s="10" t="n">
        <x:v>12</x:v>
      </x:c>
      <x:c r="S94" s="10" t="n">
        <x:v>1</x:v>
      </x:c>
      <x:c r="T94" s="10" t="n">
        <x:v>1</x:v>
      </x:c>
      <x:c r="U94" s="10" t="str">
        <x:v>Completed</x:v>
      </x:c>
      <x:c r="V94" s="10" t="n">
        <x:v>30</x:v>
      </x:c>
      <x:c r="W94" s="10" t="str">
        <x:f>XLOOKUP(F94,'产品维表'!$A$2:$A$5,'产品维表'!$D$2:$D$5,"未映射")</x:f>
        <x:v>L</x:v>
      </x:c>
      <x:c r="X94" s="10" t="str">
        <x:f>XLOOKUP(F94,'产品维表'!$A$2:$A$5,'产品维表'!$B$2:$B$5,"未映射")</x:f>
        <x:v>L1</x:v>
      </x:c>
      <x:c r="Y94" s="10" t="str">
        <x:f>XLOOKUP(G94,'渠道维表'!$A$2:$A$4,'渠道维表'!$B$2:$B$4,"未映射")</x:f>
        <x:v>区域经销</x:v>
      </x:c>
      <x:c r="Z94" s="10" t="str">
        <x:f>XLOOKUP(H94,'区域维表'!$A$2:$A$5,'区域维表'!$B$2:$B$5,"未映射")</x:f>
        <x:v>华东</x:v>
      </x:c>
      <x:c r="AA94" s="10" t="n">
        <x:f>XLOOKUP(B94,'日期维表'!$A$2:$A$43,'日期维表'!$F$2:$F$43,0)</x:f>
        <x:v>9</x:v>
      </x:c>
    </x:row>
    <x:row r="95" ht="15" hidden="0" customHeight="1">
      <x:c r="A95" s="10" t="str">
        <x:v>SO00094</x:v>
      </x:c>
      <x:c r="B95" s="10" t="n">
        <x:v>202403</x:v>
      </x:c>
      <x:c r="C95" s="10" t="n">
        <x:v>45357</x:v>
      </x:c>
      <x:c r="D95" s="10" t="n">
        <x:v>45366</x:v>
      </x:c>
      <x:c r="E95" s="10" t="n">
        <x:v>45366</x:v>
      </x:c>
      <x:c r="F95" s="10" t="n">
        <x:v>101</x:v>
      </x:c>
      <x:c r="G95" s="10" t="n">
        <x:v>2</x:v>
      </x:c>
      <x:c r="H95" s="10" t="n">
        <x:v>1</x:v>
      </x:c>
      <x:c r="I95" s="10" t="n">
        <x:v>10</x:v>
      </x:c>
      <x:c r="J95" s="10" t="n">
        <x:v>10</x:v>
      </x:c>
      <x:c r="K95" s="64" t="n">
        <x:v>2916.5</x:v>
      </x:c>
      <x:c r="L95" s="64" t="n">
        <x:v>30067.01</x:v>
      </x:c>
      <x:c r="M95" s="64" t="n">
        <x:v>902.01</x:v>
      </x:c>
      <x:c r="N95" s="64" t="n">
        <x:v>29165</x:v>
      </x:c>
      <x:c r="O95" s="64" t="n">
        <x:v>1802.66</x:v>
      </x:c>
      <x:c r="P95" s="64" t="n">
        <x:v>18026.65</x:v>
      </x:c>
      <x:c r="Q95" s="64" t="n">
        <x:v>11138.35</x:v>
      </x:c>
      <x:c r="R95" s="10" t="n">
        <x:v>9</x:v>
      </x:c>
      <x:c r="S95" s="10" t="n">
        <x:v>1</x:v>
      </x:c>
      <x:c r="T95" s="10" t="n">
        <x:v>1</x:v>
      </x:c>
      <x:c r="U95" s="10" t="str">
        <x:v>Completed</x:v>
      </x:c>
      <x:c r="V95" s="10" t="n">
        <x:v>15</x:v>
      </x:c>
      <x:c r="W95" s="10" t="str">
        <x:f>XLOOKUP(F95,'产品维表'!$A$2:$A$5,'产品维表'!$D$2:$D$5,"未映射")</x:f>
        <x:v>L</x:v>
      </x:c>
      <x:c r="X95" s="10" t="str">
        <x:f>XLOOKUP(F95,'产品维表'!$A$2:$A$5,'产品维表'!$B$2:$B$5,"未映射")</x:f>
        <x:v>L1</x:v>
      </x:c>
      <x:c r="Y95" s="10" t="str">
        <x:f>XLOOKUP(G95,'渠道维表'!$A$2:$A$4,'渠道维表'!$B$2:$B$4,"未映射")</x:f>
        <x:v>线下零售</x:v>
      </x:c>
      <x:c r="Z95" s="10" t="str">
        <x:f>XLOOKUP(H95,'区域维表'!$A$2:$A$5,'区域维表'!$B$2:$B$5,"未映射")</x:f>
        <x:v>华东</x:v>
      </x:c>
      <x:c r="AA95" s="10" t="n">
        <x:f>XLOOKUP(B95,'日期维表'!$A$2:$A$43,'日期维表'!$F$2:$F$43,0)</x:f>
        <x:v>9</x:v>
      </x:c>
    </x:row>
    <x:row r="96" ht="15" hidden="0" customHeight="1">
      <x:c r="A96" s="10" t="str">
        <x:v>SO00095</x:v>
      </x:c>
      <x:c r="B96" s="10" t="n">
        <x:v>202403</x:v>
      </x:c>
      <x:c r="C96" s="10" t="n">
        <x:v>45363</x:v>
      </x:c>
      <x:c r="D96" s="10" t="n">
        <x:v>45373</x:v>
      </x:c>
      <x:c r="E96" s="10" t="n">
        <x:v>45373</x:v>
      </x:c>
      <x:c r="F96" s="10" t="n">
        <x:v>101</x:v>
      </x:c>
      <x:c r="G96" s="10" t="n">
        <x:v>1</x:v>
      </x:c>
      <x:c r="H96" s="10" t="n">
        <x:v>2</x:v>
      </x:c>
      <x:c r="I96" s="10" t="n">
        <x:v>7</x:v>
      </x:c>
      <x:c r="J96" s="10" t="n">
        <x:v>7</x:v>
      </x:c>
      <x:c r="K96" s="64" t="n">
        <x:v>2610.71</x:v>
      </x:c>
      <x:c r="L96" s="64" t="n">
        <x:v>18275</x:v>
      </x:c>
      <x:c r="M96" s="64" t="n">
        <x:v>0</x:v>
      </x:c>
      <x:c r="N96" s="64" t="n">
        <x:v>18275</x:v>
      </x:c>
      <x:c r="O96" s="64" t="n">
        <x:v>1812.32</x:v>
      </x:c>
      <x:c r="P96" s="64" t="n">
        <x:v>12686.26</x:v>
      </x:c>
      <x:c r="Q96" s="64" t="n">
        <x:v>5588.74</x:v>
      </x:c>
      <x:c r="R96" s="10" t="n">
        <x:v>10</x:v>
      </x:c>
      <x:c r="S96" s="10" t="n">
        <x:v>1</x:v>
      </x:c>
      <x:c r="T96" s="10" t="n">
        <x:v>1</x:v>
      </x:c>
      <x:c r="U96" s="10" t="str">
        <x:v>Completed</x:v>
      </x:c>
      <x:c r="V96" s="10" t="n">
        <x:v>0</x:v>
      </x:c>
      <x:c r="W96" s="10" t="str">
        <x:f>XLOOKUP(F96,'产品维表'!$A$2:$A$5,'产品维表'!$D$2:$D$5,"未映射")</x:f>
        <x:v>L</x:v>
      </x:c>
      <x:c r="X96" s="10" t="str">
        <x:f>XLOOKUP(F96,'产品维表'!$A$2:$A$5,'产品维表'!$B$2:$B$5,"未映射")</x:f>
        <x:v>L1</x:v>
      </x:c>
      <x:c r="Y96" s="10" t="str">
        <x:f>XLOOKUP(G96,'渠道维表'!$A$2:$A$4,'渠道维表'!$B$2:$B$4,"未映射")</x:f>
        <x:v>线上直营</x:v>
      </x:c>
      <x:c r="Z96" s="10" t="str">
        <x:f>XLOOKUP(H96,'区域维表'!$A$2:$A$5,'区域维表'!$B$2:$B$5,"未映射")</x:f>
        <x:v>华南</x:v>
      </x:c>
      <x:c r="AA96" s="10" t="n">
        <x:f>XLOOKUP(B96,'日期维表'!$A$2:$A$43,'日期维表'!$F$2:$F$43,0)</x:f>
        <x:v>9</x:v>
      </x:c>
    </x:row>
    <x:row r="97" ht="15" hidden="0" customHeight="1">
      <x:c r="A97" s="10" t="str">
        <x:v>SO00096</x:v>
      </x:c>
      <x:c r="B97" s="10" t="n">
        <x:v>202403</x:v>
      </x:c>
      <x:c r="C97" s="10" t="n">
        <x:v>45362</x:v>
      </x:c>
      <x:c r="D97" s="10" t="n">
        <x:v>45374</x:v>
      </x:c>
      <x:c r="E97" s="10" t="n">
        <x:v>45374</x:v>
      </x:c>
      <x:c r="F97" s="10" t="n">
        <x:v>102</x:v>
      </x:c>
      <x:c r="G97" s="10" t="n">
        <x:v>1</x:v>
      </x:c>
      <x:c r="H97" s="10" t="n">
        <x:v>3</x:v>
      </x:c>
      <x:c r="I97" s="10" t="n">
        <x:v>9</x:v>
      </x:c>
      <x:c r="J97" s="10" t="n">
        <x:v>9</x:v>
      </x:c>
      <x:c r="K97" s="64" t="n">
        <x:v>2574.44</x:v>
      </x:c>
      <x:c r="L97" s="64" t="n">
        <x:v>23170</x:v>
      </x:c>
      <x:c r="M97" s="64" t="n">
        <x:v>0</x:v>
      </x:c>
      <x:c r="N97" s="64" t="n">
        <x:v>23170</x:v>
      </x:c>
      <x:c r="O97" s="64" t="n">
        <x:v>1730.76</x:v>
      </x:c>
      <x:c r="P97" s="64" t="n">
        <x:v>15576.88</x:v>
      </x:c>
      <x:c r="Q97" s="64" t="n">
        <x:v>7593.12</x:v>
      </x:c>
      <x:c r="R97" s="10" t="n">
        <x:v>12</x:v>
      </x:c>
      <x:c r="S97" s="10" t="n">
        <x:v>1</x:v>
      </x:c>
      <x:c r="T97" s="10" t="n">
        <x:v>1</x:v>
      </x:c>
      <x:c r="U97" s="10" t="str">
        <x:v>Completed</x:v>
      </x:c>
      <x:c r="V97" s="10" t="n">
        <x:v>0</x:v>
      </x:c>
      <x:c r="W97" s="10" t="str">
        <x:f>XLOOKUP(F97,'产品维表'!$A$2:$A$5,'产品维表'!$D$2:$D$5,"未映射")</x:f>
        <x:v>L</x:v>
      </x:c>
      <x:c r="X97" s="10" t="str">
        <x:f>XLOOKUP(F97,'产品维表'!$A$2:$A$5,'产品维表'!$B$2:$B$5,"未映射")</x:f>
        <x:v>L2</x:v>
      </x:c>
      <x:c r="Y97" s="10" t="str">
        <x:f>XLOOKUP(G97,'渠道维表'!$A$2:$A$4,'渠道维表'!$B$2:$B$4,"未映射")</x:f>
        <x:v>线上直营</x:v>
      </x:c>
      <x:c r="Z97" s="10" t="str">
        <x:f>XLOOKUP(H97,'区域维表'!$A$2:$A$5,'区域维表'!$B$2:$B$5,"未映射")</x:f>
        <x:v>华北</x:v>
      </x:c>
      <x:c r="AA97" s="10" t="n">
        <x:f>XLOOKUP(B97,'日期维表'!$A$2:$A$43,'日期维表'!$F$2:$F$43,0)</x:f>
        <x:v>9</x:v>
      </x:c>
    </x:row>
    <x:row r="98" ht="15" hidden="0" customHeight="1">
      <x:c r="A98" s="10" t="str">
        <x:v>SO00097</x:v>
      </x:c>
      <x:c r="B98" s="10" t="n">
        <x:v>202401</x:v>
      </x:c>
      <x:c r="C98" s="10" t="n">
        <x:v>45294</x:v>
      </x:c>
      <x:c r="D98" s="10" t="n">
        <x:v>45304</x:v>
      </x:c>
      <x:c r="E98" s="10" t="n">
        <x:v>45304</x:v>
      </x:c>
      <x:c r="F98" s="10" t="n">
        <x:v>201</x:v>
      </x:c>
      <x:c r="G98" s="10" t="n">
        <x:v>3</x:v>
      </x:c>
      <x:c r="H98" s="10" t="n">
        <x:v>4</x:v>
      </x:c>
      <x:c r="I98" s="10" t="n">
        <x:v>11</x:v>
      </x:c>
      <x:c r="J98" s="10" t="n">
        <x:v>11</x:v>
      </x:c>
      <x:c r="K98" s="64" t="n">
        <x:v>4294.82</x:v>
      </x:c>
      <x:c r="L98" s="64" t="n">
        <x:v>51915.38</x:v>
      </x:c>
      <x:c r="M98" s="64" t="n">
        <x:v>4672.38</x:v>
      </x:c>
      <x:c r="N98" s="64" t="n">
        <x:v>47243</x:v>
      </x:c>
      <x:c r="O98" s="64" t="n">
        <x:v>3146.45</x:v>
      </x:c>
      <x:c r="P98" s="64" t="n">
        <x:v>34610.9</x:v>
      </x:c>
      <x:c r="Q98" s="64" t="n">
        <x:v>12632.1</x:v>
      </x:c>
      <x:c r="R98" s="10" t="n">
        <x:v>10</x:v>
      </x:c>
      <x:c r="S98" s="10" t="n">
        <x:v>1</x:v>
      </x:c>
      <x:c r="T98" s="10" t="n">
        <x:v>1</x:v>
      </x:c>
      <x:c r="U98" s="10" t="str">
        <x:v>Completed</x:v>
      </x:c>
      <x:c r="V98" s="10" t="n">
        <x:v>30</x:v>
      </x:c>
      <x:c r="W98" s="10" t="str">
        <x:f>XLOOKUP(F98,'产品维表'!$A$2:$A$5,'产品维表'!$D$2:$D$5,"未映射")</x:f>
        <x:v>H</x:v>
      </x:c>
      <x:c r="X98" s="10" t="str">
        <x:f>XLOOKUP(F98,'产品维表'!$A$2:$A$5,'产品维表'!$B$2:$B$5,"未映射")</x:f>
        <x:v>H1</x:v>
      </x:c>
      <x:c r="Y98" s="10" t="str">
        <x:f>XLOOKUP(G98,'渠道维表'!$A$2:$A$4,'渠道维表'!$B$2:$B$4,"未映射")</x:f>
        <x:v>区域经销</x:v>
      </x:c>
      <x:c r="Z98" s="10" t="str">
        <x:f>XLOOKUP(H98,'区域维表'!$A$2:$A$5,'区域维表'!$B$2:$B$5,"未映射")</x:f>
        <x:v>中西部</x:v>
      </x:c>
      <x:c r="AA98" s="10" t="n">
        <x:f>XLOOKUP(B98,'日期维表'!$A$2:$A$43,'日期维表'!$F$2:$F$43,0)</x:f>
        <x:v>9</x:v>
      </x:c>
    </x:row>
    <x:row r="99" ht="15" hidden="0" customHeight="1">
      <x:c r="A99" s="10" t="str">
        <x:v>SO00098</x:v>
      </x:c>
      <x:c r="B99" s="10" t="n">
        <x:v>202401</x:v>
      </x:c>
      <x:c r="C99" s="10" t="n">
        <x:v>45306</x:v>
      </x:c>
      <x:c r="D99" s="10" t="n">
        <x:v>45312</x:v>
      </x:c>
      <x:c r="E99" s="10" t="n">
        <x:v>45312</x:v>
      </x:c>
      <x:c r="F99" s="10" t="n">
        <x:v>201</x:v>
      </x:c>
      <x:c r="G99" s="10" t="n">
        <x:v>3</x:v>
      </x:c>
      <x:c r="H99" s="10" t="n">
        <x:v>2</x:v>
      </x:c>
      <x:c r="I99" s="10" t="n">
        <x:v>10</x:v>
      </x:c>
      <x:c r="J99" s="10" t="n">
        <x:v>10</x:v>
      </x:c>
      <x:c r="K99" s="64" t="n">
        <x:v>4449.4</x:v>
      </x:c>
      <x:c r="L99" s="64" t="n">
        <x:v>48894.51</x:v>
      </x:c>
      <x:c r="M99" s="64" t="n">
        <x:v>4400.51</x:v>
      </x:c>
      <x:c r="N99" s="64" t="n">
        <x:v>44494</x:v>
      </x:c>
      <x:c r="O99" s="64" t="n">
        <x:v>3173.76</x:v>
      </x:c>
      <x:c r="P99" s="64" t="n">
        <x:v>31737.55</x:v>
      </x:c>
      <x:c r="Q99" s="64" t="n">
        <x:v>12756.45</x:v>
      </x:c>
      <x:c r="R99" s="10" t="n">
        <x:v>6</x:v>
      </x:c>
      <x:c r="S99" s="10" t="n">
        <x:v>1</x:v>
      </x:c>
      <x:c r="T99" s="10" t="n">
        <x:v>1</x:v>
      </x:c>
      <x:c r="U99" s="10" t="str">
        <x:v>Completed</x:v>
      </x:c>
      <x:c r="V99" s="10" t="n">
        <x:v>30</x:v>
      </x:c>
      <x:c r="W99" s="10" t="str">
        <x:f>XLOOKUP(F99,'产品维表'!$A$2:$A$5,'产品维表'!$D$2:$D$5,"未映射")</x:f>
        <x:v>H</x:v>
      </x:c>
      <x:c r="X99" s="10" t="str">
        <x:f>XLOOKUP(F99,'产品维表'!$A$2:$A$5,'产品维表'!$B$2:$B$5,"未映射")</x:f>
        <x:v>H1</x:v>
      </x:c>
      <x:c r="Y99" s="10" t="str">
        <x:f>XLOOKUP(G99,'渠道维表'!$A$2:$A$4,'渠道维表'!$B$2:$B$4,"未映射")</x:f>
        <x:v>区域经销</x:v>
      </x:c>
      <x:c r="Z99" s="10" t="str">
        <x:f>XLOOKUP(H99,'区域维表'!$A$2:$A$5,'区域维表'!$B$2:$B$5,"未映射")</x:f>
        <x:v>华南</x:v>
      </x:c>
      <x:c r="AA99" s="10" t="n">
        <x:f>XLOOKUP(B99,'日期维表'!$A$2:$A$43,'日期维表'!$F$2:$F$43,0)</x:f>
        <x:v>9</x:v>
      </x:c>
    </x:row>
    <x:row r="100" ht="15" hidden="0" customHeight="1">
      <x:c r="A100" s="10" t="str">
        <x:v>SO00099</x:v>
      </x:c>
      <x:c r="B100" s="10" t="n">
        <x:v>202401</x:v>
      </x:c>
      <x:c r="C100" s="10" t="n">
        <x:v>45304</x:v>
      </x:c>
      <x:c r="D100" s="10" t="n">
        <x:v>45310</x:v>
      </x:c>
      <x:c r="E100" s="10" t="n">
        <x:v>45310</x:v>
      </x:c>
      <x:c r="F100" s="10" t="n">
        <x:v>201</x:v>
      </x:c>
      <x:c r="G100" s="10" t="n">
        <x:v>3</x:v>
      </x:c>
      <x:c r="H100" s="10" t="n">
        <x:v>4</x:v>
      </x:c>
      <x:c r="I100" s="10" t="n">
        <x:v>17</x:v>
      </x:c>
      <x:c r="J100" s="10" t="n">
        <x:v>17</x:v>
      </x:c>
      <x:c r="K100" s="64" t="n">
        <x:v>4745.41</x:v>
      </x:c>
      <x:c r="L100" s="64" t="n">
        <x:v>88650.55</x:v>
      </x:c>
      <x:c r="M100" s="64" t="n">
        <x:v>7978.55</x:v>
      </x:c>
      <x:c r="N100" s="64" t="n">
        <x:v>80672</x:v>
      </x:c>
      <x:c r="O100" s="64" t="n">
        <x:v>3185.95</x:v>
      </x:c>
      <x:c r="P100" s="64" t="n">
        <x:v>54161.23</x:v>
      </x:c>
      <x:c r="Q100" s="64" t="n">
        <x:v>26510.77</x:v>
      </x:c>
      <x:c r="R100" s="10" t="n">
        <x:v>6</x:v>
      </x:c>
      <x:c r="S100" s="10" t="n">
        <x:v>1</x:v>
      </x:c>
      <x:c r="T100" s="10" t="n">
        <x:v>1</x:v>
      </x:c>
      <x:c r="U100" s="10" t="str">
        <x:v>Completed</x:v>
      </x:c>
      <x:c r="V100" s="10" t="n">
        <x:v>30</x:v>
      </x:c>
      <x:c r="W100" s="10" t="str">
        <x:f>XLOOKUP(F100,'产品维表'!$A$2:$A$5,'产品维表'!$D$2:$D$5,"未映射")</x:f>
        <x:v>H</x:v>
      </x:c>
      <x:c r="X100" s="10" t="str">
        <x:f>XLOOKUP(F100,'产品维表'!$A$2:$A$5,'产品维表'!$B$2:$B$5,"未映射")</x:f>
        <x:v>H1</x:v>
      </x:c>
      <x:c r="Y100" s="10" t="str">
        <x:f>XLOOKUP(G100,'渠道维表'!$A$2:$A$4,'渠道维表'!$B$2:$B$4,"未映射")</x:f>
        <x:v>区域经销</x:v>
      </x:c>
      <x:c r="Z100" s="10" t="str">
        <x:f>XLOOKUP(H100,'区域维表'!$A$2:$A$5,'区域维表'!$B$2:$B$5,"未映射")</x:f>
        <x:v>中西部</x:v>
      </x:c>
      <x:c r="AA100" s="10" t="n">
        <x:f>XLOOKUP(B100,'日期维表'!$A$2:$A$43,'日期维表'!$F$2:$F$43,0)</x:f>
        <x:v>9</x:v>
      </x:c>
    </x:row>
    <x:row r="101" ht="15" hidden="0" customHeight="1">
      <x:c r="A101" s="10" t="str">
        <x:v>SO00100</x:v>
      </x:c>
      <x:c r="B101" s="10" t="n">
        <x:v>202401</x:v>
      </x:c>
      <x:c r="C101" s="10" t="n">
        <x:v>45309</x:v>
      </x:c>
      <x:c r="D101" s="10" t="n">
        <x:v>45321</x:v>
      </x:c>
      <x:c r="E101" s="10" t="n">
        <x:v>45321</x:v>
      </x:c>
      <x:c r="F101" s="10" t="n">
        <x:v>201</x:v>
      </x:c>
      <x:c r="G101" s="10" t="n">
        <x:v>3</x:v>
      </x:c>
      <x:c r="H101" s="10" t="n">
        <x:v>1</x:v>
      </x:c>
      <x:c r="I101" s="10" t="n">
        <x:v>19</x:v>
      </x:c>
      <x:c r="J101" s="10" t="n">
        <x:v>19</x:v>
      </x:c>
      <x:c r="K101" s="64" t="n">
        <x:v>4696.89</x:v>
      </x:c>
      <x:c r="L101" s="64" t="n">
        <x:v>98067.03</x:v>
      </x:c>
      <x:c r="M101" s="64" t="n">
        <x:v>8826.03</x:v>
      </x:c>
      <x:c r="N101" s="64" t="n">
        <x:v>89241</x:v>
      </x:c>
      <x:c r="O101" s="64" t="n">
        <x:v>3135.82</x:v>
      </x:c>
      <x:c r="P101" s="64" t="n">
        <x:v>59580.66</x:v>
      </x:c>
      <x:c r="Q101" s="64" t="n">
        <x:v>29660.34</x:v>
      </x:c>
      <x:c r="R101" s="10" t="n">
        <x:v>12</x:v>
      </x:c>
      <x:c r="S101" s="10" t="n">
        <x:v>1</x:v>
      </x:c>
      <x:c r="T101" s="10" t="n">
        <x:v>1</x:v>
      </x:c>
      <x:c r="U101" s="10" t="str">
        <x:v>Completed</x:v>
      </x:c>
      <x:c r="V101" s="10" t="n">
        <x:v>30</x:v>
      </x:c>
      <x:c r="W101" s="10" t="str">
        <x:f>XLOOKUP(F101,'产品维表'!$A$2:$A$5,'产品维表'!$D$2:$D$5,"未映射")</x:f>
        <x:v>H</x:v>
      </x:c>
      <x:c r="X101" s="10" t="str">
        <x:f>XLOOKUP(F101,'产品维表'!$A$2:$A$5,'产品维表'!$B$2:$B$5,"未映射")</x:f>
        <x:v>H1</x:v>
      </x:c>
      <x:c r="Y101" s="10" t="str">
        <x:f>XLOOKUP(G101,'渠道维表'!$A$2:$A$4,'渠道维表'!$B$2:$B$4,"未映射")</x:f>
        <x:v>区域经销</x:v>
      </x:c>
      <x:c r="Z101" s="10" t="str">
        <x:f>XLOOKUP(H101,'区域维表'!$A$2:$A$5,'区域维表'!$B$2:$B$5,"未映射")</x:f>
        <x:v>华东</x:v>
      </x:c>
      <x:c r="AA101" s="10" t="n">
        <x:f>XLOOKUP(B101,'日期维表'!$A$2:$A$43,'日期维表'!$F$2:$F$43,0)</x:f>
        <x:v>9</x:v>
      </x:c>
    </x:row>
    <x:row r="102" ht="15" hidden="0" customHeight="1">
      <x:c r="A102" s="10" t="str">
        <x:v>SO00101</x:v>
      </x:c>
      <x:c r="B102" s="10" t="n">
        <x:v>202401</x:v>
      </x:c>
      <x:c r="C102" s="10" t="n">
        <x:v>45303</x:v>
      </x:c>
      <x:c r="D102" s="10" t="n">
        <x:v>45313</x:v>
      </x:c>
      <x:c r="E102" s="10" t="n">
        <x:v>45313</x:v>
      </x:c>
      <x:c r="F102" s="10" t="n">
        <x:v>202</x:v>
      </x:c>
      <x:c r="G102" s="10" t="n">
        <x:v>3</x:v>
      </x:c>
      <x:c r="H102" s="10" t="n">
        <x:v>4</x:v>
      </x:c>
      <x:c r="I102" s="10" t="n">
        <x:v>8</x:v>
      </x:c>
      <x:c r="J102" s="10" t="n">
        <x:v>8</x:v>
      </x:c>
      <x:c r="K102" s="64" t="n">
        <x:v>4392.75</x:v>
      </x:c>
      <x:c r="L102" s="64" t="n">
        <x:v>38617.58</x:v>
      </x:c>
      <x:c r="M102" s="64" t="n">
        <x:v>3475.58</x:v>
      </x:c>
      <x:c r="N102" s="64" t="n">
        <x:v>35142</x:v>
      </x:c>
      <x:c r="O102" s="64" t="n">
        <x:v>2963.01</x:v>
      </x:c>
      <x:c r="P102" s="64" t="n">
        <x:v>23704.05</x:v>
      </x:c>
      <x:c r="Q102" s="64" t="n">
        <x:v>11437.95</x:v>
      </x:c>
      <x:c r="R102" s="10" t="n">
        <x:v>10</x:v>
      </x:c>
      <x:c r="S102" s="10" t="n">
        <x:v>1</x:v>
      </x:c>
      <x:c r="T102" s="10" t="n">
        <x:v>1</x:v>
      </x:c>
      <x:c r="U102" s="10" t="str">
        <x:v>Completed</x:v>
      </x:c>
      <x:c r="V102" s="10" t="n">
        <x:v>30</x:v>
      </x:c>
      <x:c r="W102" s="10" t="str">
        <x:f>XLOOKUP(F102,'产品维表'!$A$2:$A$5,'产品维表'!$D$2:$D$5,"未映射")</x:f>
        <x:v>H</x:v>
      </x:c>
      <x:c r="X102" s="10" t="str">
        <x:f>XLOOKUP(F102,'产品维表'!$A$2:$A$5,'产品维表'!$B$2:$B$5,"未映射")</x:f>
        <x:v>H2</x:v>
      </x:c>
      <x:c r="Y102" s="10" t="str">
        <x:f>XLOOKUP(G102,'渠道维表'!$A$2:$A$4,'渠道维表'!$B$2:$B$4,"未映射")</x:f>
        <x:v>区域经销</x:v>
      </x:c>
      <x:c r="Z102" s="10" t="str">
        <x:f>XLOOKUP(H102,'区域维表'!$A$2:$A$5,'区域维表'!$B$2:$B$5,"未映射")</x:f>
        <x:v>中西部</x:v>
      </x:c>
      <x:c r="AA102" s="10" t="n">
        <x:f>XLOOKUP(B102,'日期维表'!$A$2:$A$43,'日期维表'!$F$2:$F$43,0)</x:f>
        <x:v>9</x:v>
      </x:c>
    </x:row>
    <x:row r="103" ht="15" hidden="0" customHeight="1">
      <x:c r="A103" s="10" t="str">
        <x:v>SO00102</x:v>
      </x:c>
      <x:c r="B103" s="10" t="n">
        <x:v>202401</x:v>
      </x:c>
      <x:c r="C103" s="10" t="n">
        <x:v>45295</x:v>
      </x:c>
      <x:c r="D103" s="10" t="n">
        <x:v>45301</x:v>
      </x:c>
      <x:c r="E103" s="10" t="n">
        <x:v>45301</x:v>
      </x:c>
      <x:c r="F103" s="10" t="n">
        <x:v>202</x:v>
      </x:c>
      <x:c r="G103" s="10" t="n">
        <x:v>1</x:v>
      </x:c>
      <x:c r="H103" s="10" t="n">
        <x:v>1</x:v>
      </x:c>
      <x:c r="I103" s="10" t="n">
        <x:v>10</x:v>
      </x:c>
      <x:c r="J103" s="10" t="n">
        <x:v>10</x:v>
      </x:c>
      <x:c r="K103" s="64" t="n">
        <x:v>4673.2</x:v>
      </x:c>
      <x:c r="L103" s="64" t="n">
        <x:v>46732</x:v>
      </x:c>
      <x:c r="M103" s="64" t="n">
        <x:v>0</x:v>
      </x:c>
      <x:c r="N103" s="64" t="n">
        <x:v>46732</x:v>
      </x:c>
      <x:c r="O103" s="64" t="n">
        <x:v>3901.2</x:v>
      </x:c>
      <x:c r="P103" s="64" t="n">
        <x:v>39011.97</x:v>
      </x:c>
      <x:c r="Q103" s="64" t="n">
        <x:v>7720.03</x:v>
      </x:c>
      <x:c r="R103" s="10" t="n">
        <x:v>6</x:v>
      </x:c>
      <x:c r="S103" s="10" t="n">
        <x:v>1</x:v>
      </x:c>
      <x:c r="T103" s="10" t="n">
        <x:v>1</x:v>
      </x:c>
      <x:c r="U103" s="10" t="str">
        <x:v>Completed</x:v>
      </x:c>
      <x:c r="V103" s="10" t="n">
        <x:v>0</x:v>
      </x:c>
      <x:c r="W103" s="10" t="str">
        <x:f>XLOOKUP(F103,'产品维表'!$A$2:$A$5,'产品维表'!$D$2:$D$5,"未映射")</x:f>
        <x:v>H</x:v>
      </x:c>
      <x:c r="X103" s="10" t="str">
        <x:f>XLOOKUP(F103,'产品维表'!$A$2:$A$5,'产品维表'!$B$2:$B$5,"未映射")</x:f>
        <x:v>H2</x:v>
      </x:c>
      <x:c r="Y103" s="10" t="str">
        <x:f>XLOOKUP(G103,'渠道维表'!$A$2:$A$4,'渠道维表'!$B$2:$B$4,"未映射")</x:f>
        <x:v>线上直营</x:v>
      </x:c>
      <x:c r="Z103" s="10" t="str">
        <x:f>XLOOKUP(H103,'区域维表'!$A$2:$A$5,'区域维表'!$B$2:$B$5,"未映射")</x:f>
        <x:v>华东</x:v>
      </x:c>
      <x:c r="AA103" s="10" t="n">
        <x:f>XLOOKUP(B103,'日期维表'!$A$2:$A$43,'日期维表'!$F$2:$F$43,0)</x:f>
        <x:v>9</x:v>
      </x:c>
    </x:row>
    <x:row r="104" ht="15" hidden="0" customHeight="1">
      <x:c r="A104" s="10" t="str">
        <x:v>SO00103</x:v>
      </x:c>
      <x:c r="B104" s="10" t="n">
        <x:v>202401</x:v>
      </x:c>
      <x:c r="C104" s="10" t="n">
        <x:v>45313</x:v>
      </x:c>
      <x:c r="D104" s="10" t="n">
        <x:v>45324</x:v>
      </x:c>
      <x:c r="E104" s="10" t="n">
        <x:v>45327</x:v>
      </x:c>
      <x:c r="F104" s="10" t="n">
        <x:v>202</x:v>
      </x:c>
      <x:c r="G104" s="10" t="n">
        <x:v>3</x:v>
      </x:c>
      <x:c r="H104" s="10" t="n">
        <x:v>1</x:v>
      </x:c>
      <x:c r="I104" s="10" t="n">
        <x:v>11</x:v>
      </x:c>
      <x:c r="J104" s="10" t="n">
        <x:v>11</x:v>
      </x:c>
      <x:c r="K104" s="64" t="n">
        <x:v>4384.82</x:v>
      </x:c>
      <x:c r="L104" s="64" t="n">
        <x:v>53003.3</x:v>
      </x:c>
      <x:c r="M104" s="64" t="n">
        <x:v>4770.3</x:v>
      </x:c>
      <x:c r="N104" s="64" t="n">
        <x:v>48233</x:v>
      </x:c>
      <x:c r="O104" s="64" t="n">
        <x:v>3151.45</x:v>
      </x:c>
      <x:c r="P104" s="64" t="n">
        <x:v>34665.99</x:v>
      </x:c>
      <x:c r="Q104" s="64" t="n">
        <x:v>13567.01</x:v>
      </x:c>
      <x:c r="R104" s="10" t="n">
        <x:v>14</x:v>
      </x:c>
      <x:c r="S104" s="10" t="n">
        <x:v>0</x:v>
      </x:c>
      <x:c r="T104" s="10" t="n">
        <x:v>1</x:v>
      </x:c>
      <x:c r="U104" s="10" t="str">
        <x:v>Completed</x:v>
      </x:c>
      <x:c r="V104" s="10" t="n">
        <x:v>30</x:v>
      </x:c>
      <x:c r="W104" s="10" t="str">
        <x:f>XLOOKUP(F104,'产品维表'!$A$2:$A$5,'产品维表'!$D$2:$D$5,"未映射")</x:f>
        <x:v>H</x:v>
      </x:c>
      <x:c r="X104" s="10" t="str">
        <x:f>XLOOKUP(F104,'产品维表'!$A$2:$A$5,'产品维表'!$B$2:$B$5,"未映射")</x:f>
        <x:v>H2</x:v>
      </x:c>
      <x:c r="Y104" s="10" t="str">
        <x:f>XLOOKUP(G104,'渠道维表'!$A$2:$A$4,'渠道维表'!$B$2:$B$4,"未映射")</x:f>
        <x:v>区域经销</x:v>
      </x:c>
      <x:c r="Z104" s="10" t="str">
        <x:f>XLOOKUP(H104,'区域维表'!$A$2:$A$5,'区域维表'!$B$2:$B$5,"未映射")</x:f>
        <x:v>华东</x:v>
      </x:c>
      <x:c r="AA104" s="10" t="n">
        <x:f>XLOOKUP(B104,'日期维表'!$A$2:$A$43,'日期维表'!$F$2:$F$43,0)</x:f>
        <x:v>9</x:v>
      </x:c>
    </x:row>
    <x:row r="105" ht="15" hidden="0" customHeight="1">
      <x:c r="A105" s="10" t="str">
        <x:v>SO00104</x:v>
      </x:c>
      <x:c r="B105" s="10" t="n">
        <x:v>202401</x:v>
      </x:c>
      <x:c r="C105" s="10" t="n">
        <x:v>45299</x:v>
      </x:c>
      <x:c r="D105" s="10" t="n">
        <x:v>45305</x:v>
      </x:c>
      <x:c r="E105" s="10" t="n">
        <x:v>45305</x:v>
      </x:c>
      <x:c r="F105" s="10" t="n">
        <x:v>202</x:v>
      </x:c>
      <x:c r="G105" s="10" t="n">
        <x:v>3</x:v>
      </x:c>
      <x:c r="H105" s="10" t="n">
        <x:v>3</x:v>
      </x:c>
      <x:c r="I105" s="10" t="n">
        <x:v>13</x:v>
      </x:c>
      <x:c r="J105" s="10" t="n">
        <x:v>13</x:v>
      </x:c>
      <x:c r="K105" s="64" t="n">
        <x:v>4775.69</x:v>
      </x:c>
      <x:c r="L105" s="64" t="n">
        <x:v>68224.18</x:v>
      </x:c>
      <x:c r="M105" s="64" t="n">
        <x:v>6140.18</x:v>
      </x:c>
      <x:c r="N105" s="64" t="n">
        <x:v>62084</x:v>
      </x:c>
      <x:c r="O105" s="64" t="n">
        <x:v>3911.15</x:v>
      </x:c>
      <x:c r="P105" s="64" t="n">
        <x:v>50844.9</x:v>
      </x:c>
      <x:c r="Q105" s="64" t="n">
        <x:v>11239.1</x:v>
      </x:c>
      <x:c r="R105" s="10" t="n">
        <x:v>6</x:v>
      </x:c>
      <x:c r="S105" s="10" t="n">
        <x:v>1</x:v>
      </x:c>
      <x:c r="T105" s="10" t="n">
        <x:v>1</x:v>
      </x:c>
      <x:c r="U105" s="10" t="str">
        <x:v>Completed</x:v>
      </x:c>
      <x:c r="V105" s="10" t="n">
        <x:v>30</x:v>
      </x:c>
      <x:c r="W105" s="10" t="str">
        <x:f>XLOOKUP(F105,'产品维表'!$A$2:$A$5,'产品维表'!$D$2:$D$5,"未映射")</x:f>
        <x:v>H</x:v>
      </x:c>
      <x:c r="X105" s="10" t="str">
        <x:f>XLOOKUP(F105,'产品维表'!$A$2:$A$5,'产品维表'!$B$2:$B$5,"未映射")</x:f>
        <x:v>H2</x:v>
      </x:c>
      <x:c r="Y105" s="10" t="str">
        <x:f>XLOOKUP(G105,'渠道维表'!$A$2:$A$4,'渠道维表'!$B$2:$B$4,"未映射")</x:f>
        <x:v>区域经销</x:v>
      </x:c>
      <x:c r="Z105" s="10" t="str">
        <x:f>XLOOKUP(H105,'区域维表'!$A$2:$A$5,'区域维表'!$B$2:$B$5,"未映射")</x:f>
        <x:v>华北</x:v>
      </x:c>
      <x:c r="AA105" s="10" t="n">
        <x:f>XLOOKUP(B105,'日期维表'!$A$2:$A$43,'日期维表'!$F$2:$F$43,0)</x:f>
        <x:v>9</x:v>
      </x:c>
    </x:row>
    <x:row r="106" ht="15" hidden="0" customHeight="1">
      <x:c r="A106" s="10" t="str">
        <x:v>SO00105</x:v>
      </x:c>
      <x:c r="B106" s="10" t="n">
        <x:v>202402</x:v>
      </x:c>
      <x:c r="C106" s="10" t="n">
        <x:v>45329</x:v>
      </x:c>
      <x:c r="D106" s="10" t="n">
        <x:v>45339</x:v>
      </x:c>
      <x:c r="E106" s="10" t="n">
        <x:v>45339</x:v>
      </x:c>
      <x:c r="F106" s="10" t="n">
        <x:v>202</x:v>
      </x:c>
      <x:c r="G106" s="10" t="n">
        <x:v>1</x:v>
      </x:c>
      <x:c r="H106" s="10" t="n">
        <x:v>2</x:v>
      </x:c>
      <x:c r="I106" s="10" t="n">
        <x:v>12</x:v>
      </x:c>
      <x:c r="J106" s="10" t="n">
        <x:v>12</x:v>
      </x:c>
      <x:c r="K106" s="64" t="n">
        <x:v>4486.83</x:v>
      </x:c>
      <x:c r="L106" s="64" t="n">
        <x:v>53842</x:v>
      </x:c>
      <x:c r="M106" s="64" t="n">
        <x:v>0</x:v>
      </x:c>
      <x:c r="N106" s="64" t="n">
        <x:v>53842</x:v>
      </x:c>
      <x:c r="O106" s="64" t="n">
        <x:v>3826.46</x:v>
      </x:c>
      <x:c r="P106" s="64" t="n">
        <x:v>45917.5</x:v>
      </x:c>
      <x:c r="Q106" s="64" t="n">
        <x:v>7924.5</x:v>
      </x:c>
      <x:c r="R106" s="10" t="n">
        <x:v>10</x:v>
      </x:c>
      <x:c r="S106" s="10" t="n">
        <x:v>1</x:v>
      </x:c>
      <x:c r="T106" s="10" t="n">
        <x:v>1</x:v>
      </x:c>
      <x:c r="U106" s="10" t="str">
        <x:v>Completed</x:v>
      </x:c>
      <x:c r="V106" s="10" t="n">
        <x:v>0</x:v>
      </x:c>
      <x:c r="W106" s="10" t="str">
        <x:f>XLOOKUP(F106,'产品维表'!$A$2:$A$5,'产品维表'!$D$2:$D$5,"未映射")</x:f>
        <x:v>H</x:v>
      </x:c>
      <x:c r="X106" s="10" t="str">
        <x:f>XLOOKUP(F106,'产品维表'!$A$2:$A$5,'产品维表'!$B$2:$B$5,"未映射")</x:f>
        <x:v>H2</x:v>
      </x:c>
      <x:c r="Y106" s="10" t="str">
        <x:f>XLOOKUP(G106,'渠道维表'!$A$2:$A$4,'渠道维表'!$B$2:$B$4,"未映射")</x:f>
        <x:v>线上直营</x:v>
      </x:c>
      <x:c r="Z106" s="10" t="str">
        <x:f>XLOOKUP(H106,'区域维表'!$A$2:$A$5,'区域维表'!$B$2:$B$5,"未映射")</x:f>
        <x:v>华南</x:v>
      </x:c>
      <x:c r="AA106" s="10" t="n">
        <x:f>XLOOKUP(B106,'日期维表'!$A$2:$A$43,'日期维表'!$F$2:$F$43,0)</x:f>
        <x:v>9</x:v>
      </x:c>
    </x:row>
    <x:row r="107" ht="15" hidden="0" customHeight="1">
      <x:c r="A107" s="10" t="str">
        <x:v>SO00106</x:v>
      </x:c>
      <x:c r="B107" s="10" t="n">
        <x:v>202402</x:v>
      </x:c>
      <x:c r="C107" s="10" t="n">
        <x:v>45335</x:v>
      </x:c>
      <x:c r="D107" s="10" t="n">
        <x:v>45345</x:v>
      </x:c>
      <x:c r="E107" s="10" t="n">
        <x:v>45345</x:v>
      </x:c>
      <x:c r="F107" s="10" t="n">
        <x:v>202</x:v>
      </x:c>
      <x:c r="G107" s="10" t="n">
        <x:v>1</x:v>
      </x:c>
      <x:c r="H107" s="10" t="n">
        <x:v>3</x:v>
      </x:c>
      <x:c r="I107" s="10" t="n">
        <x:v>15</x:v>
      </x:c>
      <x:c r="J107" s="10" t="n">
        <x:v>15</x:v>
      </x:c>
      <x:c r="K107" s="64" t="n">
        <x:v>4712.13</x:v>
      </x:c>
      <x:c r="L107" s="64" t="n">
        <x:v>70682</x:v>
      </x:c>
      <x:c r="M107" s="64" t="n">
        <x:v>0</x:v>
      </x:c>
      <x:c r="N107" s="64" t="n">
        <x:v>70682</x:v>
      </x:c>
      <x:c r="O107" s="64" t="n">
        <x:v>3823.74</x:v>
      </x:c>
      <x:c r="P107" s="64" t="n">
        <x:v>57356.03</x:v>
      </x:c>
      <x:c r="Q107" s="64" t="n">
        <x:v>13325.97</x:v>
      </x:c>
      <x:c r="R107" s="10" t="n">
        <x:v>10</x:v>
      </x:c>
      <x:c r="S107" s="10" t="n">
        <x:v>1</x:v>
      </x:c>
      <x:c r="T107" s="10" t="n">
        <x:v>1</x:v>
      </x:c>
      <x:c r="U107" s="10" t="str">
        <x:v>Completed</x:v>
      </x:c>
      <x:c r="V107" s="10" t="n">
        <x:v>0</x:v>
      </x:c>
      <x:c r="W107" s="10" t="str">
        <x:f>XLOOKUP(F107,'产品维表'!$A$2:$A$5,'产品维表'!$D$2:$D$5,"未映射")</x:f>
        <x:v>H</x:v>
      </x:c>
      <x:c r="X107" s="10" t="str">
        <x:f>XLOOKUP(F107,'产品维表'!$A$2:$A$5,'产品维表'!$B$2:$B$5,"未映射")</x:f>
        <x:v>H2</x:v>
      </x:c>
      <x:c r="Y107" s="10" t="str">
        <x:f>XLOOKUP(G107,'渠道维表'!$A$2:$A$4,'渠道维表'!$B$2:$B$4,"未映射")</x:f>
        <x:v>线上直营</x:v>
      </x:c>
      <x:c r="Z107" s="10" t="str">
        <x:f>XLOOKUP(H107,'区域维表'!$A$2:$A$5,'区域维表'!$B$2:$B$5,"未映射")</x:f>
        <x:v>华北</x:v>
      </x:c>
      <x:c r="AA107" s="10" t="n">
        <x:f>XLOOKUP(B107,'日期维表'!$A$2:$A$43,'日期维表'!$F$2:$F$43,0)</x:f>
        <x:v>9</x:v>
      </x:c>
    </x:row>
    <x:row r="108" ht="15" hidden="0" customHeight="1">
      <x:c r="A108" s="10" t="str">
        <x:v>SO00107</x:v>
      </x:c>
      <x:c r="B108" s="10" t="n">
        <x:v>202402</x:v>
      </x:c>
      <x:c r="C108" s="10" t="n">
        <x:v>45332</x:v>
      </x:c>
      <x:c r="D108" s="10" t="n">
        <x:v>45341</x:v>
      </x:c>
      <x:c r="E108" s="10" t="n">
        <x:v>45342</x:v>
      </x:c>
      <x:c r="F108" s="10" t="n">
        <x:v>201</x:v>
      </x:c>
      <x:c r="G108" s="10" t="n">
        <x:v>1</x:v>
      </x:c>
      <x:c r="H108" s="10" t="n">
        <x:v>3</x:v>
      </x:c>
      <x:c r="I108" s="10" t="n">
        <x:v>9</x:v>
      </x:c>
      <x:c r="J108" s="10" t="n">
        <x:v>9</x:v>
      </x:c>
      <x:c r="K108" s="64" t="n">
        <x:v>4272.22</x:v>
      </x:c>
      <x:c r="L108" s="64" t="n">
        <x:v>38450</x:v>
      </x:c>
      <x:c r="M108" s="64" t="n">
        <x:v>0</x:v>
      </x:c>
      <x:c r="N108" s="64" t="n">
        <x:v>38450</x:v>
      </x:c>
      <x:c r="O108" s="64" t="n">
        <x:v>3134.63</x:v>
      </x:c>
      <x:c r="P108" s="64" t="n">
        <x:v>28211.63</x:v>
      </x:c>
      <x:c r="Q108" s="64" t="n">
        <x:v>10238.37</x:v>
      </x:c>
      <x:c r="R108" s="10" t="n">
        <x:v>10</x:v>
      </x:c>
      <x:c r="S108" s="10" t="n">
        <x:v>0</x:v>
      </x:c>
      <x:c r="T108" s="10" t="n">
        <x:v>1</x:v>
      </x:c>
      <x:c r="U108" s="10" t="str">
        <x:v>Completed</x:v>
      </x:c>
      <x:c r="V108" s="10" t="n">
        <x:v>0</x:v>
      </x:c>
      <x:c r="W108" s="10" t="str">
        <x:f>XLOOKUP(F108,'产品维表'!$A$2:$A$5,'产品维表'!$D$2:$D$5,"未映射")</x:f>
        <x:v>H</x:v>
      </x:c>
      <x:c r="X108" s="10" t="str">
        <x:f>XLOOKUP(F108,'产品维表'!$A$2:$A$5,'产品维表'!$B$2:$B$5,"未映射")</x:f>
        <x:v>H1</x:v>
      </x:c>
      <x:c r="Y108" s="10" t="str">
        <x:f>XLOOKUP(G108,'渠道维表'!$A$2:$A$4,'渠道维表'!$B$2:$B$4,"未映射")</x:f>
        <x:v>线上直营</x:v>
      </x:c>
      <x:c r="Z108" s="10" t="str">
        <x:f>XLOOKUP(H108,'区域维表'!$A$2:$A$5,'区域维表'!$B$2:$B$5,"未映射")</x:f>
        <x:v>华北</x:v>
      </x:c>
      <x:c r="AA108" s="10" t="n">
        <x:f>XLOOKUP(B108,'日期维表'!$A$2:$A$43,'日期维表'!$F$2:$F$43,0)</x:f>
        <x:v>9</x:v>
      </x:c>
    </x:row>
    <x:row r="109" ht="15" hidden="0" customHeight="1">
      <x:c r="A109" s="10" t="str">
        <x:v>SO00108</x:v>
      </x:c>
      <x:c r="B109" s="10" t="n">
        <x:v>202402</x:v>
      </x:c>
      <x:c r="C109" s="10" t="n">
        <x:v>45346</x:v>
      </x:c>
      <x:c r="D109" s="10" t="n">
        <x:v>45356</x:v>
      </x:c>
      <x:c r="E109" s="10" t="n">
        <x:v>45356</x:v>
      </x:c>
      <x:c r="F109" s="10" t="n">
        <x:v>201</x:v>
      </x:c>
      <x:c r="G109" s="10" t="n">
        <x:v>1</x:v>
      </x:c>
      <x:c r="H109" s="10" t="n">
        <x:v>1</x:v>
      </x:c>
      <x:c r="I109" s="10" t="n">
        <x:v>12</x:v>
      </x:c>
      <x:c r="J109" s="10" t="n">
        <x:v>12</x:v>
      </x:c>
      <x:c r="K109" s="64" t="n">
        <x:v>4769.67</x:v>
      </x:c>
      <x:c r="L109" s="64" t="n">
        <x:v>57236</x:v>
      </x:c>
      <x:c r="M109" s="64" t="n">
        <x:v>0</x:v>
      </x:c>
      <x:c r="N109" s="64" t="n">
        <x:v>57236</x:v>
      </x:c>
      <x:c r="O109" s="64" t="n">
        <x:v>3198.79</x:v>
      </x:c>
      <x:c r="P109" s="64" t="n">
        <x:v>38385.47</x:v>
      </x:c>
      <x:c r="Q109" s="64" t="n">
        <x:v>18850.53</x:v>
      </x:c>
      <x:c r="R109" s="10" t="n">
        <x:v>10</x:v>
      </x:c>
      <x:c r="S109" s="10" t="n">
        <x:v>1</x:v>
      </x:c>
      <x:c r="T109" s="10" t="n">
        <x:v>1</x:v>
      </x:c>
      <x:c r="U109" s="10" t="str">
        <x:v>Completed</x:v>
      </x:c>
      <x:c r="V109" s="10" t="n">
        <x:v>0</x:v>
      </x:c>
      <x:c r="W109" s="10" t="str">
        <x:f>XLOOKUP(F109,'产品维表'!$A$2:$A$5,'产品维表'!$D$2:$D$5,"未映射")</x:f>
        <x:v>H</x:v>
      </x:c>
      <x:c r="X109" s="10" t="str">
        <x:f>XLOOKUP(F109,'产品维表'!$A$2:$A$5,'产品维表'!$B$2:$B$5,"未映射")</x:f>
        <x:v>H1</x:v>
      </x:c>
      <x:c r="Y109" s="10" t="str">
        <x:f>XLOOKUP(G109,'渠道维表'!$A$2:$A$4,'渠道维表'!$B$2:$B$4,"未映射")</x:f>
        <x:v>线上直营</x:v>
      </x:c>
      <x:c r="Z109" s="10" t="str">
        <x:f>XLOOKUP(H109,'区域维表'!$A$2:$A$5,'区域维表'!$B$2:$B$5,"未映射")</x:f>
        <x:v>华东</x:v>
      </x:c>
      <x:c r="AA109" s="10" t="n">
        <x:f>XLOOKUP(B109,'日期维表'!$A$2:$A$43,'日期维表'!$F$2:$F$43,0)</x:f>
        <x:v>9</x:v>
      </x:c>
    </x:row>
    <x:row r="110" ht="15" hidden="0" customHeight="1">
      <x:c r="A110" s="10" t="str">
        <x:v>SO00109</x:v>
      </x:c>
      <x:c r="B110" s="10" t="n">
        <x:v>202402</x:v>
      </x:c>
      <x:c r="C110" s="10" t="n">
        <x:v>45339</x:v>
      </x:c>
      <x:c r="D110" s="10" t="n">
        <x:v>45349</x:v>
      </x:c>
      <x:c r="E110" s="10" t="n">
        <x:v>45349</x:v>
      </x:c>
      <x:c r="F110" s="10" t="n">
        <x:v>202</x:v>
      </x:c>
      <x:c r="G110" s="10" t="n">
        <x:v>3</x:v>
      </x:c>
      <x:c r="H110" s="10" t="n">
        <x:v>3</x:v>
      </x:c>
      <x:c r="I110" s="10" t="n">
        <x:v>13</x:v>
      </x:c>
      <x:c r="J110" s="10" t="n">
        <x:v>13</x:v>
      </x:c>
      <x:c r="K110" s="64" t="n">
        <x:v>4556.54</x:v>
      </x:c>
      <x:c r="L110" s="64" t="n">
        <x:v>65093.41</x:v>
      </x:c>
      <x:c r="M110" s="64" t="n">
        <x:v>5858.41</x:v>
      </x:c>
      <x:c r="N110" s="64" t="n">
        <x:v>59235</x:v>
      </x:c>
      <x:c r="O110" s="64" t="n">
        <x:v>3788.1</x:v>
      </x:c>
      <x:c r="P110" s="64" t="n">
        <x:v>49245.33</x:v>
      </x:c>
      <x:c r="Q110" s="64" t="n">
        <x:v>9989.67</x:v>
      </x:c>
      <x:c r="R110" s="10" t="n">
        <x:v>10</x:v>
      </x:c>
      <x:c r="S110" s="10" t="n">
        <x:v>1</x:v>
      </x:c>
      <x:c r="T110" s="10" t="n">
        <x:v>1</x:v>
      </x:c>
      <x:c r="U110" s="10" t="str">
        <x:v>Completed</x:v>
      </x:c>
      <x:c r="V110" s="10" t="n">
        <x:v>30</x:v>
      </x:c>
      <x:c r="W110" s="10" t="str">
        <x:f>XLOOKUP(F110,'产品维表'!$A$2:$A$5,'产品维表'!$D$2:$D$5,"未映射")</x:f>
        <x:v>H</x:v>
      </x:c>
      <x:c r="X110" s="10" t="str">
        <x:f>XLOOKUP(F110,'产品维表'!$A$2:$A$5,'产品维表'!$B$2:$B$5,"未映射")</x:f>
        <x:v>H2</x:v>
      </x:c>
      <x:c r="Y110" s="10" t="str">
        <x:f>XLOOKUP(G110,'渠道维表'!$A$2:$A$4,'渠道维表'!$B$2:$B$4,"未映射")</x:f>
        <x:v>区域经销</x:v>
      </x:c>
      <x:c r="Z110" s="10" t="str">
        <x:f>XLOOKUP(H110,'区域维表'!$A$2:$A$5,'区域维表'!$B$2:$B$5,"未映射")</x:f>
        <x:v>华北</x:v>
      </x:c>
      <x:c r="AA110" s="10" t="n">
        <x:f>XLOOKUP(B110,'日期维表'!$A$2:$A$43,'日期维表'!$F$2:$F$43,0)</x:f>
        <x:v>9</x:v>
      </x:c>
    </x:row>
    <x:row r="111" ht="15" hidden="0" customHeight="1">
      <x:c r="A111" s="10" t="str">
        <x:v>SO00110</x:v>
      </x:c>
      <x:c r="B111" s="10" t="n">
        <x:v>202402</x:v>
      </x:c>
      <x:c r="C111" s="10" t="n">
        <x:v>45339</x:v>
      </x:c>
      <x:c r="D111" s="10" t="n">
        <x:v>45346</x:v>
      </x:c>
      <x:c r="E111" s="10" t="n">
        <x:v>45347</x:v>
      </x:c>
      <x:c r="F111" s="10" t="n">
        <x:v>201</x:v>
      </x:c>
      <x:c r="G111" s="10" t="n">
        <x:v>2</x:v>
      </x:c>
      <x:c r="H111" s="10" t="n">
        <x:v>4</x:v>
      </x:c>
      <x:c r="I111" s="10" t="n">
        <x:v>13</x:v>
      </x:c>
      <x:c r="J111" s="10" t="n">
        <x:v>13</x:v>
      </x:c>
      <x:c r="K111" s="64" t="n">
        <x:v>4703.69</x:v>
      </x:c>
      <x:c r="L111" s="64" t="n">
        <x:v>63039.18</x:v>
      </x:c>
      <x:c r="M111" s="64" t="n">
        <x:v>1891.18</x:v>
      </x:c>
      <x:c r="N111" s="64" t="n">
        <x:v>61148</x:v>
      </x:c>
      <x:c r="O111" s="64" t="n">
        <x:v>3102.89</x:v>
      </x:c>
      <x:c r="P111" s="64" t="n">
        <x:v>40337.58</x:v>
      </x:c>
      <x:c r="Q111" s="64" t="n">
        <x:v>20810.42</x:v>
      </x:c>
      <x:c r="R111" s="10" t="n">
        <x:v>8</x:v>
      </x:c>
      <x:c r="S111" s="10" t="n">
        <x:v>0</x:v>
      </x:c>
      <x:c r="T111" s="10" t="n">
        <x:v>1</x:v>
      </x:c>
      <x:c r="U111" s="10" t="str">
        <x:v>Completed</x:v>
      </x:c>
      <x:c r="V111" s="10" t="n">
        <x:v>15</x:v>
      </x:c>
      <x:c r="W111" s="10" t="str">
        <x:f>XLOOKUP(F111,'产品维表'!$A$2:$A$5,'产品维表'!$D$2:$D$5,"未映射")</x:f>
        <x:v>H</x:v>
      </x:c>
      <x:c r="X111" s="10" t="str">
        <x:f>XLOOKUP(F111,'产品维表'!$A$2:$A$5,'产品维表'!$B$2:$B$5,"未映射")</x:f>
        <x:v>H1</x:v>
      </x:c>
      <x:c r="Y111" s="10" t="str">
        <x:f>XLOOKUP(G111,'渠道维表'!$A$2:$A$4,'渠道维表'!$B$2:$B$4,"未映射")</x:f>
        <x:v>线下零售</x:v>
      </x:c>
      <x:c r="Z111" s="10" t="str">
        <x:f>XLOOKUP(H111,'区域维表'!$A$2:$A$5,'区域维表'!$B$2:$B$5,"未映射")</x:f>
        <x:v>中西部</x:v>
      </x:c>
      <x:c r="AA111" s="10" t="n">
        <x:f>XLOOKUP(B111,'日期维表'!$A$2:$A$43,'日期维表'!$F$2:$F$43,0)</x:f>
        <x:v>9</x:v>
      </x:c>
    </x:row>
    <x:row r="112" ht="15" hidden="0" customHeight="1">
      <x:c r="A112" s="10" t="str">
        <x:v>SO00111</x:v>
      </x:c>
      <x:c r="B112" s="10" t="n">
        <x:v>202402</x:v>
      </x:c>
      <x:c r="C112" s="10" t="n">
        <x:v>45332</x:v>
      </x:c>
      <x:c r="D112" s="10" t="n">
        <x:v>45344</x:v>
      </x:c>
      <x:c r="E112" s="10" t="n">
        <x:v>45344</x:v>
      </x:c>
      <x:c r="F112" s="10" t="n">
        <x:v>201</x:v>
      </x:c>
      <x:c r="G112" s="10" t="n">
        <x:v>1</x:v>
      </x:c>
      <x:c r="H112" s="10" t="n">
        <x:v>4</x:v>
      </x:c>
      <x:c r="I112" s="10" t="n">
        <x:v>10</x:v>
      </x:c>
      <x:c r="J112" s="10" t="n">
        <x:v>10</x:v>
      </x:c>
      <x:c r="K112" s="64" t="n">
        <x:v>4387.1</x:v>
      </x:c>
      <x:c r="L112" s="64" t="n">
        <x:v>43871</x:v>
      </x:c>
      <x:c r="M112" s="64" t="n">
        <x:v>0</x:v>
      </x:c>
      <x:c r="N112" s="64" t="n">
        <x:v>43871</x:v>
      </x:c>
      <x:c r="O112" s="64" t="n">
        <x:v>3198.08</x:v>
      </x:c>
      <x:c r="P112" s="64" t="n">
        <x:v>31980.78</x:v>
      </x:c>
      <x:c r="Q112" s="64" t="n">
        <x:v>11890.22</x:v>
      </x:c>
      <x:c r="R112" s="10" t="n">
        <x:v>12</x:v>
      </x:c>
      <x:c r="S112" s="10" t="n">
        <x:v>1</x:v>
      </x:c>
      <x:c r="T112" s="10" t="n">
        <x:v>1</x:v>
      </x:c>
      <x:c r="U112" s="10" t="str">
        <x:v>Completed</x:v>
      </x:c>
      <x:c r="V112" s="10" t="n">
        <x:v>0</x:v>
      </x:c>
      <x:c r="W112" s="10" t="str">
        <x:f>XLOOKUP(F112,'产品维表'!$A$2:$A$5,'产品维表'!$D$2:$D$5,"未映射")</x:f>
        <x:v>H</x:v>
      </x:c>
      <x:c r="X112" s="10" t="str">
        <x:f>XLOOKUP(F112,'产品维表'!$A$2:$A$5,'产品维表'!$B$2:$B$5,"未映射")</x:f>
        <x:v>H1</x:v>
      </x:c>
      <x:c r="Y112" s="10" t="str">
        <x:f>XLOOKUP(G112,'渠道维表'!$A$2:$A$4,'渠道维表'!$B$2:$B$4,"未映射")</x:f>
        <x:v>线上直营</x:v>
      </x:c>
      <x:c r="Z112" s="10" t="str">
        <x:f>XLOOKUP(H112,'区域维表'!$A$2:$A$5,'区域维表'!$B$2:$B$5,"未映射")</x:f>
        <x:v>中西部</x:v>
      </x:c>
      <x:c r="AA112" s="10" t="n">
        <x:f>XLOOKUP(B112,'日期维表'!$A$2:$A$43,'日期维表'!$F$2:$F$43,0)</x:f>
        <x:v>9</x:v>
      </x:c>
    </x:row>
    <x:row r="113" ht="15" hidden="0" customHeight="1">
      <x:c r="A113" s="10" t="str">
        <x:v>SO00112</x:v>
      </x:c>
      <x:c r="B113" s="10" t="n">
        <x:v>202402</x:v>
      </x:c>
      <x:c r="C113" s="10" t="n">
        <x:v>45343</x:v>
      </x:c>
      <x:c r="D113" s="10" t="n">
        <x:v>45351</x:v>
      </x:c>
      <x:c r="E113" s="10" t="n">
        <x:v>45351</x:v>
      </x:c>
      <x:c r="F113" s="10" t="n">
        <x:v>202</x:v>
      </x:c>
      <x:c r="G113" s="10" t="n">
        <x:v>3</x:v>
      </x:c>
      <x:c r="H113" s="10" t="n">
        <x:v>1</x:v>
      </x:c>
      <x:c r="I113" s="10" t="n">
        <x:v>11</x:v>
      </x:c>
      <x:c r="J113" s="10" t="n">
        <x:v>11</x:v>
      </x:c>
      <x:c r="K113" s="64" t="n">
        <x:v>4842.36</x:v>
      </x:c>
      <x:c r="L113" s="64" t="n">
        <x:v>58534.07</x:v>
      </x:c>
      <x:c r="M113" s="64" t="n">
        <x:v>5268.07</x:v>
      </x:c>
      <x:c r="N113" s="64" t="n">
        <x:v>53266</x:v>
      </x:c>
      <x:c r="O113" s="64" t="n">
        <x:v>3822.6</x:v>
      </x:c>
      <x:c r="P113" s="64" t="n">
        <x:v>42048.61</x:v>
      </x:c>
      <x:c r="Q113" s="64" t="n">
        <x:v>11217.39</x:v>
      </x:c>
      <x:c r="R113" s="10" t="n">
        <x:v>8</x:v>
      </x:c>
      <x:c r="S113" s="10" t="n">
        <x:v>1</x:v>
      </x:c>
      <x:c r="T113" s="10" t="n">
        <x:v>1</x:v>
      </x:c>
      <x:c r="U113" s="10" t="str">
        <x:v>Completed</x:v>
      </x:c>
      <x:c r="V113" s="10" t="n">
        <x:v>30</x:v>
      </x:c>
      <x:c r="W113" s="10" t="str">
        <x:f>XLOOKUP(F113,'产品维表'!$A$2:$A$5,'产品维表'!$D$2:$D$5,"未映射")</x:f>
        <x:v>H</x:v>
      </x:c>
      <x:c r="X113" s="10" t="str">
        <x:f>XLOOKUP(F113,'产品维表'!$A$2:$A$5,'产品维表'!$B$2:$B$5,"未映射")</x:f>
        <x:v>H2</x:v>
      </x:c>
      <x:c r="Y113" s="10" t="str">
        <x:f>XLOOKUP(G113,'渠道维表'!$A$2:$A$4,'渠道维表'!$B$2:$B$4,"未映射")</x:f>
        <x:v>区域经销</x:v>
      </x:c>
      <x:c r="Z113" s="10" t="str">
        <x:f>XLOOKUP(H113,'区域维表'!$A$2:$A$5,'区域维表'!$B$2:$B$5,"未映射")</x:f>
        <x:v>华东</x:v>
      </x:c>
      <x:c r="AA113" s="10" t="n">
        <x:f>XLOOKUP(B113,'日期维表'!$A$2:$A$43,'日期维表'!$F$2:$F$43,0)</x:f>
        <x:v>9</x:v>
      </x:c>
    </x:row>
    <x:row r="114" ht="15" hidden="0" customHeight="1">
      <x:c r="A114" s="10" t="str">
        <x:v>SO00113</x:v>
      </x:c>
      <x:c r="B114" s="10" t="n">
        <x:v>202403</x:v>
      </x:c>
      <x:c r="C114" s="10" t="n">
        <x:v>45366</x:v>
      </x:c>
      <x:c r="D114" s="10" t="n">
        <x:v>45375</x:v>
      </x:c>
      <x:c r="E114" s="10" t="n">
        <x:v>45378</x:v>
      </x:c>
      <x:c r="F114" s="10" t="n">
        <x:v>201</x:v>
      </x:c>
      <x:c r="G114" s="10" t="n">
        <x:v>1</x:v>
      </x:c>
      <x:c r="H114" s="10" t="n">
        <x:v>3</x:v>
      </x:c>
      <x:c r="I114" s="10" t="n">
        <x:v>13</x:v>
      </x:c>
      <x:c r="J114" s="10" t="n">
        <x:v>13</x:v>
      </x:c>
      <x:c r="K114" s="64" t="n">
        <x:v>4748.62</x:v>
      </x:c>
      <x:c r="L114" s="64" t="n">
        <x:v>61732</x:v>
      </x:c>
      <x:c r="M114" s="64" t="n">
        <x:v>0</x:v>
      </x:c>
      <x:c r="N114" s="64" t="n">
        <x:v>61732</x:v>
      </x:c>
      <x:c r="O114" s="64" t="n">
        <x:v>3235.27</x:v>
      </x:c>
      <x:c r="P114" s="64" t="n">
        <x:v>42058.56</x:v>
      </x:c>
      <x:c r="Q114" s="64" t="n">
        <x:v>19673.44</x:v>
      </x:c>
      <x:c r="R114" s="10" t="n">
        <x:v>12</x:v>
      </x:c>
      <x:c r="S114" s="10" t="n">
        <x:v>0</x:v>
      </x:c>
      <x:c r="T114" s="10" t="n">
        <x:v>1</x:v>
      </x:c>
      <x:c r="U114" s="10" t="str">
        <x:v>Completed</x:v>
      </x:c>
      <x:c r="V114" s="10" t="n">
        <x:v>0</x:v>
      </x:c>
      <x:c r="W114" s="10" t="str">
        <x:f>XLOOKUP(F114,'产品维表'!$A$2:$A$5,'产品维表'!$D$2:$D$5,"未映射")</x:f>
        <x:v>H</x:v>
      </x:c>
      <x:c r="X114" s="10" t="str">
        <x:f>XLOOKUP(F114,'产品维表'!$A$2:$A$5,'产品维表'!$B$2:$B$5,"未映射")</x:f>
        <x:v>H1</x:v>
      </x:c>
      <x:c r="Y114" s="10" t="str">
        <x:f>XLOOKUP(G114,'渠道维表'!$A$2:$A$4,'渠道维表'!$B$2:$B$4,"未映射")</x:f>
        <x:v>线上直营</x:v>
      </x:c>
      <x:c r="Z114" s="10" t="str">
        <x:f>XLOOKUP(H114,'区域维表'!$A$2:$A$5,'区域维表'!$B$2:$B$5,"未映射")</x:f>
        <x:v>华北</x:v>
      </x:c>
      <x:c r="AA114" s="10" t="n">
        <x:f>XLOOKUP(B114,'日期维表'!$A$2:$A$43,'日期维表'!$F$2:$F$43,0)</x:f>
        <x:v>9</x:v>
      </x:c>
    </x:row>
    <x:row r="115" ht="15" hidden="0" customHeight="1">
      <x:c r="A115" s="10" t="str">
        <x:v>SO00114</x:v>
      </x:c>
      <x:c r="B115" s="10" t="n">
        <x:v>202403</x:v>
      </x:c>
      <x:c r="C115" s="10" t="n">
        <x:v>45355</x:v>
      </x:c>
      <x:c r="D115" s="10" t="n">
        <x:v>45362</x:v>
      </x:c>
      <x:c r="E115" s="10" t="n">
        <x:v>45362</x:v>
      </x:c>
      <x:c r="F115" s="10" t="n">
        <x:v>201</x:v>
      </x:c>
      <x:c r="G115" s="10" t="n">
        <x:v>2</x:v>
      </x:c>
      <x:c r="H115" s="10" t="n">
        <x:v>4</x:v>
      </x:c>
      <x:c r="I115" s="10" t="n">
        <x:v>11</x:v>
      </x:c>
      <x:c r="J115" s="10" t="n">
        <x:v>11</x:v>
      </x:c>
      <x:c r="K115" s="64" t="n">
        <x:v>4478.27</x:v>
      </x:c>
      <x:c r="L115" s="64" t="n">
        <x:v>50784.54</x:v>
      </x:c>
      <x:c r="M115" s="64" t="n">
        <x:v>1523.54</x:v>
      </x:c>
      <x:c r="N115" s="64" t="n">
        <x:v>49261</x:v>
      </x:c>
      <x:c r="O115" s="64" t="n">
        <x:v>3161.4</x:v>
      </x:c>
      <x:c r="P115" s="64" t="n">
        <x:v>34775.45</x:v>
      </x:c>
      <x:c r="Q115" s="64" t="n">
        <x:v>14485.55</x:v>
      </x:c>
      <x:c r="R115" s="10" t="n">
        <x:v>7</x:v>
      </x:c>
      <x:c r="S115" s="10" t="n">
        <x:v>1</x:v>
      </x:c>
      <x:c r="T115" s="10" t="n">
        <x:v>1</x:v>
      </x:c>
      <x:c r="U115" s="10" t="str">
        <x:v>Completed</x:v>
      </x:c>
      <x:c r="V115" s="10" t="n">
        <x:v>15</x:v>
      </x:c>
      <x:c r="W115" s="10" t="str">
        <x:f>XLOOKUP(F115,'产品维表'!$A$2:$A$5,'产品维表'!$D$2:$D$5,"未映射")</x:f>
        <x:v>H</x:v>
      </x:c>
      <x:c r="X115" s="10" t="str">
        <x:f>XLOOKUP(F115,'产品维表'!$A$2:$A$5,'产品维表'!$B$2:$B$5,"未映射")</x:f>
        <x:v>H1</x:v>
      </x:c>
      <x:c r="Y115" s="10" t="str">
        <x:f>XLOOKUP(G115,'渠道维表'!$A$2:$A$4,'渠道维表'!$B$2:$B$4,"未映射")</x:f>
        <x:v>线下零售</x:v>
      </x:c>
      <x:c r="Z115" s="10" t="str">
        <x:f>XLOOKUP(H115,'区域维表'!$A$2:$A$5,'区域维表'!$B$2:$B$5,"未映射")</x:f>
        <x:v>中西部</x:v>
      </x:c>
      <x:c r="AA115" s="10" t="n">
        <x:f>XLOOKUP(B115,'日期维表'!$A$2:$A$43,'日期维表'!$F$2:$F$43,0)</x:f>
        <x:v>9</x:v>
      </x:c>
    </x:row>
    <x:row r="116" ht="15" hidden="0" customHeight="1">
      <x:c r="A116" s="10" t="str">
        <x:v>SO00115</x:v>
      </x:c>
      <x:c r="B116" s="10" t="n">
        <x:v>202403</x:v>
      </x:c>
      <x:c r="C116" s="10" t="n">
        <x:v>45374</x:v>
      </x:c>
      <x:c r="D116" s="10" t="n">
        <x:v>45386</x:v>
      </x:c>
      <x:c r="E116" s="10" t="n">
        <x:v>45386</x:v>
      </x:c>
      <x:c r="F116" s="10" t="n">
        <x:v>202</x:v>
      </x:c>
      <x:c r="G116" s="10" t="n">
        <x:v>3</x:v>
      </x:c>
      <x:c r="H116" s="10" t="n">
        <x:v>2</x:v>
      </x:c>
      <x:c r="I116" s="10" t="n">
        <x:v>11</x:v>
      </x:c>
      <x:c r="J116" s="10" t="n">
        <x:v>11</x:v>
      </x:c>
      <x:c r="K116" s="64" t="n">
        <x:v>4447.82</x:v>
      </x:c>
      <x:c r="L116" s="64" t="n">
        <x:v>53764.84</x:v>
      </x:c>
      <x:c r="M116" s="64" t="n">
        <x:v>4838.84</x:v>
      </x:c>
      <x:c r="N116" s="64" t="n">
        <x:v>48926</x:v>
      </x:c>
      <x:c r="O116" s="64" t="n">
        <x:v>3808.32</x:v>
      </x:c>
      <x:c r="P116" s="64" t="n">
        <x:v>41891.5</x:v>
      </x:c>
      <x:c r="Q116" s="64" t="n">
        <x:v>7034.5</x:v>
      </x:c>
      <x:c r="R116" s="10" t="n">
        <x:v>12</x:v>
      </x:c>
      <x:c r="S116" s="10" t="n">
        <x:v>1</x:v>
      </x:c>
      <x:c r="T116" s="10" t="n">
        <x:v>1</x:v>
      </x:c>
      <x:c r="U116" s="10" t="str">
        <x:v>Completed</x:v>
      </x:c>
      <x:c r="V116" s="10" t="n">
        <x:v>30</x:v>
      </x:c>
      <x:c r="W116" s="10" t="str">
        <x:f>XLOOKUP(F116,'产品维表'!$A$2:$A$5,'产品维表'!$D$2:$D$5,"未映射")</x:f>
        <x:v>H</x:v>
      </x:c>
      <x:c r="X116" s="10" t="str">
        <x:f>XLOOKUP(F116,'产品维表'!$A$2:$A$5,'产品维表'!$B$2:$B$5,"未映射")</x:f>
        <x:v>H2</x:v>
      </x:c>
      <x:c r="Y116" s="10" t="str">
        <x:f>XLOOKUP(G116,'渠道维表'!$A$2:$A$4,'渠道维表'!$B$2:$B$4,"未映射")</x:f>
        <x:v>区域经销</x:v>
      </x:c>
      <x:c r="Z116" s="10" t="str">
        <x:f>XLOOKUP(H116,'区域维表'!$A$2:$A$5,'区域维表'!$B$2:$B$5,"未映射")</x:f>
        <x:v>华南</x:v>
      </x:c>
      <x:c r="AA116" s="10" t="n">
        <x:f>XLOOKUP(B116,'日期维表'!$A$2:$A$43,'日期维表'!$F$2:$F$43,0)</x:f>
        <x:v>9</x:v>
      </x:c>
    </x:row>
    <x:row r="117" ht="15" hidden="0" customHeight="1">
      <x:c r="A117" s="10" t="str">
        <x:v>SO00116</x:v>
      </x:c>
      <x:c r="B117" s="10" t="n">
        <x:v>202403</x:v>
      </x:c>
      <x:c r="C117" s="10" t="n">
        <x:v>45357</x:v>
      </x:c>
      <x:c r="D117" s="10" t="n">
        <x:v>45368</x:v>
      </x:c>
      <x:c r="E117" s="10" t="n">
        <x:v>45368</x:v>
      </x:c>
      <x:c r="F117" s="10" t="n">
        <x:v>202</x:v>
      </x:c>
      <x:c r="G117" s="10" t="n">
        <x:v>1</x:v>
      </x:c>
      <x:c r="H117" s="10" t="n">
        <x:v>1</x:v>
      </x:c>
      <x:c r="I117" s="10" t="n">
        <x:v>12</x:v>
      </x:c>
      <x:c r="J117" s="10" t="n">
        <x:v>12</x:v>
      </x:c>
      <x:c r="K117" s="64" t="n">
        <x:v>4859.25</x:v>
      </x:c>
      <x:c r="L117" s="64" t="n">
        <x:v>58311</x:v>
      </x:c>
      <x:c r="M117" s="64" t="n">
        <x:v>0</x:v>
      </x:c>
      <x:c r="N117" s="64" t="n">
        <x:v>58311</x:v>
      </x:c>
      <x:c r="O117" s="64" t="n">
        <x:v>3913.65</x:v>
      </x:c>
      <x:c r="P117" s="64" t="n">
        <x:v>46963.77</x:v>
      </x:c>
      <x:c r="Q117" s="64" t="n">
        <x:v>11347.23</x:v>
      </x:c>
      <x:c r="R117" s="10" t="n">
        <x:v>11</x:v>
      </x:c>
      <x:c r="S117" s="10" t="n">
        <x:v>1</x:v>
      </x:c>
      <x:c r="T117" s="10" t="n">
        <x:v>1</x:v>
      </x:c>
      <x:c r="U117" s="10" t="str">
        <x:v>Completed</x:v>
      </x:c>
      <x:c r="V117" s="10" t="n">
        <x:v>0</x:v>
      </x:c>
      <x:c r="W117" s="10" t="str">
        <x:f>XLOOKUP(F117,'产品维表'!$A$2:$A$5,'产品维表'!$D$2:$D$5,"未映射")</x:f>
        <x:v>H</x:v>
      </x:c>
      <x:c r="X117" s="10" t="str">
        <x:f>XLOOKUP(F117,'产品维表'!$A$2:$A$5,'产品维表'!$B$2:$B$5,"未映射")</x:f>
        <x:v>H2</x:v>
      </x:c>
      <x:c r="Y117" s="10" t="str">
        <x:f>XLOOKUP(G117,'渠道维表'!$A$2:$A$4,'渠道维表'!$B$2:$B$4,"未映射")</x:f>
        <x:v>线上直营</x:v>
      </x:c>
      <x:c r="Z117" s="10" t="str">
        <x:f>XLOOKUP(H117,'区域维表'!$A$2:$A$5,'区域维表'!$B$2:$B$5,"未映射")</x:f>
        <x:v>华东</x:v>
      </x:c>
      <x:c r="AA117" s="10" t="n">
        <x:f>XLOOKUP(B117,'日期维表'!$A$2:$A$43,'日期维表'!$F$2:$F$43,0)</x:f>
        <x:v>9</x:v>
      </x:c>
    </x:row>
    <x:row r="118" ht="15" hidden="0" customHeight="1">
      <x:c r="A118" s="10" t="str">
        <x:v>SO00117</x:v>
      </x:c>
      <x:c r="B118" s="10" t="n">
        <x:v>202403</x:v>
      </x:c>
      <x:c r="C118" s="10" t="n">
        <x:v>45354</x:v>
      </x:c>
      <x:c r="D118" s="10" t="n">
        <x:v>45360</x:v>
      </x:c>
      <x:c r="E118" s="10" t="n">
        <x:v>45360</x:v>
      </x:c>
      <x:c r="F118" s="10" t="n">
        <x:v>202</x:v>
      </x:c>
      <x:c r="G118" s="10" t="n">
        <x:v>1</x:v>
      </x:c>
      <x:c r="H118" s="10" t="n">
        <x:v>4</x:v>
      </x:c>
      <x:c r="I118" s="10" t="n">
        <x:v>13</x:v>
      </x:c>
      <x:c r="J118" s="10" t="n">
        <x:v>13</x:v>
      </x:c>
      <x:c r="K118" s="64" t="n">
        <x:v>4885.77</x:v>
      </x:c>
      <x:c r="L118" s="64" t="n">
        <x:v>63515</x:v>
      </x:c>
      <x:c r="M118" s="64" t="n">
        <x:v>0</x:v>
      </x:c>
      <x:c r="N118" s="64" t="n">
        <x:v>63515</x:v>
      </x:c>
      <x:c r="O118" s="64" t="n">
        <x:v>3819</x:v>
      </x:c>
      <x:c r="P118" s="64" t="n">
        <x:v>49647.06</x:v>
      </x:c>
      <x:c r="Q118" s="64" t="n">
        <x:v>13867.94</x:v>
      </x:c>
      <x:c r="R118" s="10" t="n">
        <x:v>6</x:v>
      </x:c>
      <x:c r="S118" s="10" t="n">
        <x:v>1</x:v>
      </x:c>
      <x:c r="T118" s="10" t="n">
        <x:v>1</x:v>
      </x:c>
      <x:c r="U118" s="10" t="str">
        <x:v>Completed</x:v>
      </x:c>
      <x:c r="V118" s="10" t="n">
        <x:v>0</x:v>
      </x:c>
      <x:c r="W118" s="10" t="str">
        <x:f>XLOOKUP(F118,'产品维表'!$A$2:$A$5,'产品维表'!$D$2:$D$5,"未映射")</x:f>
        <x:v>H</x:v>
      </x:c>
      <x:c r="X118" s="10" t="str">
        <x:f>XLOOKUP(F118,'产品维表'!$A$2:$A$5,'产品维表'!$B$2:$B$5,"未映射")</x:f>
        <x:v>H2</x:v>
      </x:c>
      <x:c r="Y118" s="10" t="str">
        <x:f>XLOOKUP(G118,'渠道维表'!$A$2:$A$4,'渠道维表'!$B$2:$B$4,"未映射")</x:f>
        <x:v>线上直营</x:v>
      </x:c>
      <x:c r="Z118" s="10" t="str">
        <x:f>XLOOKUP(H118,'区域维表'!$A$2:$A$5,'区域维表'!$B$2:$B$5,"未映射")</x:f>
        <x:v>中西部</x:v>
      </x:c>
      <x:c r="AA118" s="10" t="n">
        <x:f>XLOOKUP(B118,'日期维表'!$A$2:$A$43,'日期维表'!$F$2:$F$43,0)</x:f>
        <x:v>9</x:v>
      </x:c>
    </x:row>
    <x:row r="119" ht="15" hidden="0" customHeight="1">
      <x:c r="A119" s="10" t="str">
        <x:v>SO00118</x:v>
      </x:c>
      <x:c r="B119" s="10" t="n">
        <x:v>202403</x:v>
      </x:c>
      <x:c r="C119" s="10" t="n">
        <x:v>45373</x:v>
      </x:c>
      <x:c r="D119" s="10" t="n">
        <x:v>45379</x:v>
      </x:c>
      <x:c r="E119" s="10" t="n">
        <x:v>45379</x:v>
      </x:c>
      <x:c r="F119" s="10" t="n">
        <x:v>202</x:v>
      </x:c>
      <x:c r="G119" s="10" t="n">
        <x:v>3</x:v>
      </x:c>
      <x:c r="H119" s="10" t="n">
        <x:v>2</x:v>
      </x:c>
      <x:c r="I119" s="10" t="n">
        <x:v>18</x:v>
      </x:c>
      <x:c r="J119" s="10" t="n">
        <x:v>18</x:v>
      </x:c>
      <x:c r="K119" s="64" t="n">
        <x:v>4490.5</x:v>
      </x:c>
      <x:c r="L119" s="64" t="n">
        <x:v>88823.08</x:v>
      </x:c>
      <x:c r="M119" s="64" t="n">
        <x:v>7994.08</x:v>
      </x:c>
      <x:c r="N119" s="64" t="n">
        <x:v>80829</x:v>
      </x:c>
      <x:c r="O119" s="64" t="n">
        <x:v>3849.29</x:v>
      </x:c>
      <x:c r="P119" s="64" t="n">
        <x:v>69287.24</x:v>
      </x:c>
      <x:c r="Q119" s="64" t="n">
        <x:v>11541.76</x:v>
      </x:c>
      <x:c r="R119" s="10" t="n">
        <x:v>6</x:v>
      </x:c>
      <x:c r="S119" s="10" t="n">
        <x:v>1</x:v>
      </x:c>
      <x:c r="T119" s="10" t="n">
        <x:v>1</x:v>
      </x:c>
      <x:c r="U119" s="10" t="str">
        <x:v>Completed</x:v>
      </x:c>
      <x:c r="V119" s="10" t="n">
        <x:v>30</x:v>
      </x:c>
      <x:c r="W119" s="10" t="str">
        <x:f>XLOOKUP(F119,'产品维表'!$A$2:$A$5,'产品维表'!$D$2:$D$5,"未映射")</x:f>
        <x:v>H</x:v>
      </x:c>
      <x:c r="X119" s="10" t="str">
        <x:f>XLOOKUP(F119,'产品维表'!$A$2:$A$5,'产品维表'!$B$2:$B$5,"未映射")</x:f>
        <x:v>H2</x:v>
      </x:c>
      <x:c r="Y119" s="10" t="str">
        <x:f>XLOOKUP(G119,'渠道维表'!$A$2:$A$4,'渠道维表'!$B$2:$B$4,"未映射")</x:f>
        <x:v>区域经销</x:v>
      </x:c>
      <x:c r="Z119" s="10" t="str">
        <x:f>XLOOKUP(H119,'区域维表'!$A$2:$A$5,'区域维表'!$B$2:$B$5,"未映射")</x:f>
        <x:v>华南</x:v>
      </x:c>
      <x:c r="AA119" s="10" t="n">
        <x:f>XLOOKUP(B119,'日期维表'!$A$2:$A$43,'日期维表'!$F$2:$F$43,0)</x:f>
        <x:v>9</x:v>
      </x:c>
    </x:row>
    <x:row r="120" ht="15" hidden="0" customHeight="1">
      <x:c r="A120" s="10" t="str">
        <x:v>SO00119</x:v>
      </x:c>
      <x:c r="B120" s="10" t="n">
        <x:v>202403</x:v>
      </x:c>
      <x:c r="C120" s="10" t="n">
        <x:v>45371</x:v>
      </x:c>
      <x:c r="D120" s="10" t="n">
        <x:v>45383</x:v>
      </x:c>
      <x:c r="E120" s="10" t="n">
        <x:v>45387</x:v>
      </x:c>
      <x:c r="F120" s="10" t="n">
        <x:v>201</x:v>
      </x:c>
      <x:c r="G120" s="10" t="n">
        <x:v>2</x:v>
      </x:c>
      <x:c r="H120" s="10" t="n">
        <x:v>2</x:v>
      </x:c>
      <x:c r="I120" s="10" t="n">
        <x:v>15</x:v>
      </x:c>
      <x:c r="J120" s="10" t="n">
        <x:v>15</x:v>
      </x:c>
      <x:c r="K120" s="64" t="n">
        <x:v>4380.13</x:v>
      </x:c>
      <x:c r="L120" s="64" t="n">
        <x:v>67734.02</x:v>
      </x:c>
      <x:c r="M120" s="64" t="n">
        <x:v>2032.02</x:v>
      </x:c>
      <x:c r="N120" s="64" t="n">
        <x:v>65702</x:v>
      </x:c>
      <x:c r="O120" s="64" t="n">
        <x:v>3135.38</x:v>
      </x:c>
      <x:c r="P120" s="64" t="n">
        <x:v>47030.75</x:v>
      </x:c>
      <x:c r="Q120" s="64" t="n">
        <x:v>18671.25</x:v>
      </x:c>
      <x:c r="R120" s="10" t="n">
        <x:v>16</x:v>
      </x:c>
      <x:c r="S120" s="10" t="n">
        <x:v>0</x:v>
      </x:c>
      <x:c r="T120" s="10" t="n">
        <x:v>1</x:v>
      </x:c>
      <x:c r="U120" s="10" t="str">
        <x:v>Completed</x:v>
      </x:c>
      <x:c r="V120" s="10" t="n">
        <x:v>15</x:v>
      </x:c>
      <x:c r="W120" s="10" t="str">
        <x:f>XLOOKUP(F120,'产品维表'!$A$2:$A$5,'产品维表'!$D$2:$D$5,"未映射")</x:f>
        <x:v>H</x:v>
      </x:c>
      <x:c r="X120" s="10" t="str">
        <x:f>XLOOKUP(F120,'产品维表'!$A$2:$A$5,'产品维表'!$B$2:$B$5,"未映射")</x:f>
        <x:v>H1</x:v>
      </x:c>
      <x:c r="Y120" s="10" t="str">
        <x:f>XLOOKUP(G120,'渠道维表'!$A$2:$A$4,'渠道维表'!$B$2:$B$4,"未映射")</x:f>
        <x:v>线下零售</x:v>
      </x:c>
      <x:c r="Z120" s="10" t="str">
        <x:f>XLOOKUP(H120,'区域维表'!$A$2:$A$5,'区域维表'!$B$2:$B$5,"未映射")</x:f>
        <x:v>华南</x:v>
      </x:c>
      <x:c r="AA120" s="10" t="n">
        <x:f>XLOOKUP(B120,'日期维表'!$A$2:$A$43,'日期维表'!$F$2:$F$43,0)</x:f>
        <x:v>9</x:v>
      </x:c>
    </x:row>
    <x:row r="121" ht="15" hidden="0" customHeight="1">
      <x:c r="A121" s="10" t="str">
        <x:v>SO00120</x:v>
      </x:c>
      <x:c r="B121" s="10" t="n">
        <x:v>202403</x:v>
      </x:c>
      <x:c r="C121" s="10" t="n">
        <x:v>45375</x:v>
      </x:c>
      <x:c r="D121" s="10" t="n">
        <x:v>45382</x:v>
      </x:c>
      <x:c r="E121" s="10" t="n">
        <x:v>45382</x:v>
      </x:c>
      <x:c r="F121" s="10" t="n">
        <x:v>201</x:v>
      </x:c>
      <x:c r="G121" s="10" t="n">
        <x:v>3</x:v>
      </x:c>
      <x:c r="H121" s="10" t="n">
        <x:v>4</x:v>
      </x:c>
      <x:c r="I121" s="10" t="n">
        <x:v>22</x:v>
      </x:c>
      <x:c r="J121" s="10" t="n">
        <x:v>22</x:v>
      </x:c>
      <x:c r="K121" s="64" t="n">
        <x:v>4643.32</x:v>
      </x:c>
      <x:c r="L121" s="64" t="n">
        <x:v>112256.04</x:v>
      </x:c>
      <x:c r="M121" s="64" t="n">
        <x:v>10103.04</x:v>
      </x:c>
      <x:c r="N121" s="64" t="n">
        <x:v>102153</x:v>
      </x:c>
      <x:c r="O121" s="64" t="n">
        <x:v>3155.65</x:v>
      </x:c>
      <x:c r="P121" s="64" t="n">
        <x:v>69424.31</x:v>
      </x:c>
      <x:c r="Q121" s="64" t="n">
        <x:v>32728.69</x:v>
      </x:c>
      <x:c r="R121" s="10" t="n">
        <x:v>7</x:v>
      </x:c>
      <x:c r="S121" s="10" t="n">
        <x:v>1</x:v>
      </x:c>
      <x:c r="T121" s="10" t="n">
        <x:v>1</x:v>
      </x:c>
      <x:c r="U121" s="10" t="str">
        <x:v>Completed</x:v>
      </x:c>
      <x:c r="V121" s="10" t="n">
        <x:v>30</x:v>
      </x:c>
      <x:c r="W121" s="10" t="str">
        <x:f>XLOOKUP(F121,'产品维表'!$A$2:$A$5,'产品维表'!$D$2:$D$5,"未映射")</x:f>
        <x:v>H</x:v>
      </x:c>
      <x:c r="X121" s="10" t="str">
        <x:f>XLOOKUP(F121,'产品维表'!$A$2:$A$5,'产品维表'!$B$2:$B$5,"未映射")</x:f>
        <x:v>H1</x:v>
      </x:c>
      <x:c r="Y121" s="10" t="str">
        <x:f>XLOOKUP(G121,'渠道维表'!$A$2:$A$4,'渠道维表'!$B$2:$B$4,"未映射")</x:f>
        <x:v>区域经销</x:v>
      </x:c>
      <x:c r="Z121" s="10" t="str">
        <x:f>XLOOKUP(H121,'区域维表'!$A$2:$A$5,'区域维表'!$B$2:$B$5,"未映射")</x:f>
        <x:v>中西部</x:v>
      </x:c>
      <x:c r="AA121" s="10" t="n">
        <x:f>XLOOKUP(B121,'日期维表'!$A$2:$A$43,'日期维表'!$F$2:$F$43,0)</x:f>
        <x:v>9</x:v>
      </x:c>
    </x:row>
    <x:row r="122" ht="15" hidden="0" customHeight="1">
      <x:c r="A122" s="10" t="str">
        <x:v>SO00121</x:v>
      </x:c>
      <x:c r="B122" s="10" t="n">
        <x:v>202404</x:v>
      </x:c>
      <x:c r="C122" s="10" t="n">
        <x:v>45396</x:v>
      </x:c>
      <x:c r="D122" s="10" t="n">
        <x:v>45407</x:v>
      </x:c>
      <x:c r="E122" s="10" t="n">
        <x:v>45407</x:v>
      </x:c>
      <x:c r="F122" s="10" t="n">
        <x:v>201</x:v>
      </x:c>
      <x:c r="G122" s="10" t="n">
        <x:v>3</x:v>
      </x:c>
      <x:c r="H122" s="10" t="n">
        <x:v>2</x:v>
      </x:c>
      <x:c r="I122" s="10" t="n">
        <x:v>36</x:v>
      </x:c>
      <x:c r="J122" s="10" t="n">
        <x:v>36</x:v>
      </x:c>
      <x:c r="K122" s="64" t="n">
        <x:v>4913.06</x:v>
      </x:c>
      <x:c r="L122" s="64" t="n">
        <x:v>194362.64</x:v>
      </x:c>
      <x:c r="M122" s="64" t="n">
        <x:v>17492.64</x:v>
      </x:c>
      <x:c r="N122" s="64" t="n">
        <x:v>176870</x:v>
      </x:c>
      <x:c r="O122" s="64" t="n">
        <x:v>3239.61</x:v>
      </x:c>
      <x:c r="P122" s="64" t="n">
        <x:v>116625.78</x:v>
      </x:c>
      <x:c r="Q122" s="64" t="n">
        <x:v>60244.22</x:v>
      </x:c>
      <x:c r="R122" s="10" t="n">
        <x:v>11</x:v>
      </x:c>
      <x:c r="S122" s="10" t="n">
        <x:v>1</x:v>
      </x:c>
      <x:c r="T122" s="10" t="n">
        <x:v>1</x:v>
      </x:c>
      <x:c r="U122" s="10" t="str">
        <x:v>Completed</x:v>
      </x:c>
      <x:c r="V122" s="10" t="n">
        <x:v>30</x:v>
      </x:c>
      <x:c r="W122" s="10" t="str">
        <x:f>XLOOKUP(F122,'产品维表'!$A$2:$A$5,'产品维表'!$D$2:$D$5,"未映射")</x:f>
        <x:v>H</x:v>
      </x:c>
      <x:c r="X122" s="10" t="str">
        <x:f>XLOOKUP(F122,'产品维表'!$A$2:$A$5,'产品维表'!$B$2:$B$5,"未映射")</x:f>
        <x:v>H1</x:v>
      </x:c>
      <x:c r="Y122" s="10" t="str">
        <x:f>XLOOKUP(G122,'渠道维表'!$A$2:$A$4,'渠道维表'!$B$2:$B$4,"未映射")</x:f>
        <x:v>区域经销</x:v>
      </x:c>
      <x:c r="Z122" s="10" t="str">
        <x:f>XLOOKUP(H122,'区域维表'!$A$2:$A$5,'区域维表'!$B$2:$B$5,"未映射")</x:f>
        <x:v>华南</x:v>
      </x:c>
      <x:c r="AA122" s="10" t="n">
        <x:f>XLOOKUP(B122,'日期维表'!$A$2:$A$43,'日期维表'!$F$2:$F$43,0)</x:f>
        <x:v>10</x:v>
      </x:c>
    </x:row>
    <x:row r="123" ht="15" hidden="0" customHeight="1">
      <x:c r="A123" s="10" t="str">
        <x:v>SO00122</x:v>
      </x:c>
      <x:c r="B123" s="10" t="n">
        <x:v>202404</x:v>
      </x:c>
      <x:c r="C123" s="10" t="n">
        <x:v>45396</x:v>
      </x:c>
      <x:c r="D123" s="10" t="n">
        <x:v>45405</x:v>
      </x:c>
      <x:c r="E123" s="10" t="n">
        <x:v>45406</x:v>
      </x:c>
      <x:c r="F123" s="10" t="n">
        <x:v>202</x:v>
      </x:c>
      <x:c r="G123" s="10" t="n">
        <x:v>3</x:v>
      </x:c>
      <x:c r="H123" s="10" t="n">
        <x:v>4</x:v>
      </x:c>
      <x:c r="I123" s="10" t="n">
        <x:v>47</x:v>
      </x:c>
      <x:c r="J123" s="10" t="n">
        <x:v>47</x:v>
      </x:c>
      <x:c r="K123" s="64" t="n">
        <x:v>4399.7</x:v>
      </x:c>
      <x:c r="L123" s="64" t="n">
        <x:v>227237.36</x:v>
      </x:c>
      <x:c r="M123" s="64" t="n">
        <x:v>20451.36</x:v>
      </x:c>
      <x:c r="N123" s="64" t="n">
        <x:v>206786</x:v>
      </x:c>
      <x:c r="O123" s="64" t="n">
        <x:v>3188.2</x:v>
      </x:c>
      <x:c r="P123" s="64" t="n">
        <x:v>149845.5</x:v>
      </x:c>
      <x:c r="Q123" s="64" t="n">
        <x:v>56940.5</x:v>
      </x:c>
      <x:c r="R123" s="10" t="n">
        <x:v>10</x:v>
      </x:c>
      <x:c r="S123" s="10" t="n">
        <x:v>0</x:v>
      </x:c>
      <x:c r="T123" s="10" t="n">
        <x:v>1</x:v>
      </x:c>
      <x:c r="U123" s="10" t="str">
        <x:v>Completed</x:v>
      </x:c>
      <x:c r="V123" s="10" t="n">
        <x:v>30</x:v>
      </x:c>
      <x:c r="W123" s="10" t="str">
        <x:f>XLOOKUP(F123,'产品维表'!$A$2:$A$5,'产品维表'!$D$2:$D$5,"未映射")</x:f>
        <x:v>H</x:v>
      </x:c>
      <x:c r="X123" s="10" t="str">
        <x:f>XLOOKUP(F123,'产品维表'!$A$2:$A$5,'产品维表'!$B$2:$B$5,"未映射")</x:f>
        <x:v>H2</x:v>
      </x:c>
      <x:c r="Y123" s="10" t="str">
        <x:f>XLOOKUP(G123,'渠道维表'!$A$2:$A$4,'渠道维表'!$B$2:$B$4,"未映射")</x:f>
        <x:v>区域经销</x:v>
      </x:c>
      <x:c r="Z123" s="10" t="str">
        <x:f>XLOOKUP(H123,'区域维表'!$A$2:$A$5,'区域维表'!$B$2:$B$5,"未映射")</x:f>
        <x:v>中西部</x:v>
      </x:c>
      <x:c r="AA123" s="10" t="n">
        <x:f>XLOOKUP(B123,'日期维表'!$A$2:$A$43,'日期维表'!$F$2:$F$43,0)</x:f>
        <x:v>10</x:v>
      </x:c>
    </x:row>
    <x:row r="124" ht="15" hidden="0" customHeight="1">
      <x:c r="A124" s="10" t="str">
        <x:v>SO00123</x:v>
      </x:c>
      <x:c r="B124" s="10" t="n">
        <x:v>202404</x:v>
      </x:c>
      <x:c r="C124" s="10" t="n">
        <x:v>45402</x:v>
      </x:c>
      <x:c r="D124" s="10" t="n">
        <x:v>45413</x:v>
      </x:c>
      <x:c r="E124" s="10" t="n">
        <x:v>45413</x:v>
      </x:c>
      <x:c r="F124" s="10" t="n">
        <x:v>201</x:v>
      </x:c>
      <x:c r="G124" s="10" t="n">
        <x:v>3</x:v>
      </x:c>
      <x:c r="H124" s="10" t="n">
        <x:v>2</x:v>
      </x:c>
      <x:c r="I124" s="10" t="n">
        <x:v>16</x:v>
      </x:c>
      <x:c r="J124" s="10" t="n">
        <x:v>16</x:v>
      </x:c>
      <x:c r="K124" s="64" t="n">
        <x:v>4313.44</x:v>
      </x:c>
      <x:c r="L124" s="64" t="n">
        <x:v>75840.66</x:v>
      </x:c>
      <x:c r="M124" s="64" t="n">
        <x:v>6825.66</x:v>
      </x:c>
      <x:c r="N124" s="64" t="n">
        <x:v>69015</x:v>
      </x:c>
      <x:c r="O124" s="64" t="n">
        <x:v>3152.94</x:v>
      </x:c>
      <x:c r="P124" s="64" t="n">
        <x:v>50447.11</x:v>
      </x:c>
      <x:c r="Q124" s="64" t="n">
        <x:v>18567.89</x:v>
      </x:c>
      <x:c r="R124" s="10" t="n">
        <x:v>11</x:v>
      </x:c>
      <x:c r="S124" s="10" t="n">
        <x:v>1</x:v>
      </x:c>
      <x:c r="T124" s="10" t="n">
        <x:v>1</x:v>
      </x:c>
      <x:c r="U124" s="10" t="str">
        <x:v>Completed</x:v>
      </x:c>
      <x:c r="V124" s="10" t="n">
        <x:v>30</x:v>
      </x:c>
      <x:c r="W124" s="10" t="str">
        <x:f>XLOOKUP(F124,'产品维表'!$A$2:$A$5,'产品维表'!$D$2:$D$5,"未映射")</x:f>
        <x:v>H</x:v>
      </x:c>
      <x:c r="X124" s="10" t="str">
        <x:f>XLOOKUP(F124,'产品维表'!$A$2:$A$5,'产品维表'!$B$2:$B$5,"未映射")</x:f>
        <x:v>H1</x:v>
      </x:c>
      <x:c r="Y124" s="10" t="str">
        <x:f>XLOOKUP(G124,'渠道维表'!$A$2:$A$4,'渠道维表'!$B$2:$B$4,"未映射")</x:f>
        <x:v>区域经销</x:v>
      </x:c>
      <x:c r="Z124" s="10" t="str">
        <x:f>XLOOKUP(H124,'区域维表'!$A$2:$A$5,'区域维表'!$B$2:$B$5,"未映射")</x:f>
        <x:v>华南</x:v>
      </x:c>
      <x:c r="AA124" s="10" t="n">
        <x:f>XLOOKUP(B124,'日期维表'!$A$2:$A$43,'日期维表'!$F$2:$F$43,0)</x:f>
        <x:v>10</x:v>
      </x:c>
    </x:row>
    <x:row r="125" ht="15" hidden="0" customHeight="1">
      <x:c r="A125" s="10" t="str">
        <x:v>SO00124</x:v>
      </x:c>
      <x:c r="B125" s="10" t="n">
        <x:v>202404</x:v>
      </x:c>
      <x:c r="C125" s="10" t="n">
        <x:v>45406</x:v>
      </x:c>
      <x:c r="D125" s="10" t="n">
        <x:v>45417</x:v>
      </x:c>
      <x:c r="E125" s="10" t="n">
        <x:v>45417</x:v>
      </x:c>
      <x:c r="F125" s="10" t="n">
        <x:v>201</x:v>
      </x:c>
      <x:c r="G125" s="10" t="n">
        <x:v>2</x:v>
      </x:c>
      <x:c r="H125" s="10" t="n">
        <x:v>3</x:v>
      </x:c>
      <x:c r="I125" s="10" t="n">
        <x:v>22</x:v>
      </x:c>
      <x:c r="J125" s="10" t="n">
        <x:v>22</x:v>
      </x:c>
      <x:c r="K125" s="64" t="n">
        <x:v>4421.91</x:v>
      </x:c>
      <x:c r="L125" s="64" t="n">
        <x:v>100290.72</x:v>
      </x:c>
      <x:c r="M125" s="64" t="n">
        <x:v>3008.72</x:v>
      </x:c>
      <x:c r="N125" s="64" t="n">
        <x:v>97282</x:v>
      </x:c>
      <x:c r="O125" s="64" t="n">
        <x:v>3230.86</x:v>
      </x:c>
      <x:c r="P125" s="64" t="n">
        <x:v>71078.84</x:v>
      </x:c>
      <x:c r="Q125" s="64" t="n">
        <x:v>26203.16</x:v>
      </x:c>
      <x:c r="R125" s="10" t="n">
        <x:v>11</x:v>
      </x:c>
      <x:c r="S125" s="10" t="n">
        <x:v>1</x:v>
      </x:c>
      <x:c r="T125" s="10" t="n">
        <x:v>1</x:v>
      </x:c>
      <x:c r="U125" s="10" t="str">
        <x:v>Completed</x:v>
      </x:c>
      <x:c r="V125" s="10" t="n">
        <x:v>15</x:v>
      </x:c>
      <x:c r="W125" s="10" t="str">
        <x:f>XLOOKUP(F125,'产品维表'!$A$2:$A$5,'产品维表'!$D$2:$D$5,"未映射")</x:f>
        <x:v>H</x:v>
      </x:c>
      <x:c r="X125" s="10" t="str">
        <x:f>XLOOKUP(F125,'产品维表'!$A$2:$A$5,'产品维表'!$B$2:$B$5,"未映射")</x:f>
        <x:v>H1</x:v>
      </x:c>
      <x:c r="Y125" s="10" t="str">
        <x:f>XLOOKUP(G125,'渠道维表'!$A$2:$A$4,'渠道维表'!$B$2:$B$4,"未映射")</x:f>
        <x:v>线下零售</x:v>
      </x:c>
      <x:c r="Z125" s="10" t="str">
        <x:f>XLOOKUP(H125,'区域维表'!$A$2:$A$5,'区域维表'!$B$2:$B$5,"未映射")</x:f>
        <x:v>华北</x:v>
      </x:c>
      <x:c r="AA125" s="10" t="n">
        <x:f>XLOOKUP(B125,'日期维表'!$A$2:$A$43,'日期维表'!$F$2:$F$43,0)</x:f>
        <x:v>10</x:v>
      </x:c>
    </x:row>
    <x:row r="126" ht="15" hidden="0" customHeight="1">
      <x:c r="A126" s="10" t="str">
        <x:v>SO00125</x:v>
      </x:c>
      <x:c r="B126" s="10" t="n">
        <x:v>202404</x:v>
      </x:c>
      <x:c r="C126" s="10" t="n">
        <x:v>45395</x:v>
      </x:c>
      <x:c r="D126" s="10" t="n">
        <x:v>45407</x:v>
      </x:c>
      <x:c r="E126" s="10" t="n">
        <x:v>45407</x:v>
      </x:c>
      <x:c r="F126" s="10" t="n">
        <x:v>201</x:v>
      </x:c>
      <x:c r="G126" s="10" t="n">
        <x:v>1</x:v>
      </x:c>
      <x:c r="H126" s="10" t="n">
        <x:v>1</x:v>
      </x:c>
      <x:c r="I126" s="10" t="n">
        <x:v>41</x:v>
      </x:c>
      <x:c r="J126" s="10" t="n">
        <x:v>41</x:v>
      </x:c>
      <x:c r="K126" s="64" t="n">
        <x:v>4873.56</x:v>
      </x:c>
      <x:c r="L126" s="64" t="n">
        <x:v>199816</x:v>
      </x:c>
      <x:c r="M126" s="64" t="n">
        <x:v>0</x:v>
      </x:c>
      <x:c r="N126" s="64" t="n">
        <x:v>199816</x:v>
      </x:c>
      <x:c r="O126" s="64" t="n">
        <x:v>3179.23</x:v>
      </x:c>
      <x:c r="P126" s="64" t="n">
        <x:v>130348.61</x:v>
      </x:c>
      <x:c r="Q126" s="64" t="n">
        <x:v>69467.39</x:v>
      </x:c>
      <x:c r="R126" s="10" t="n">
        <x:v>12</x:v>
      </x:c>
      <x:c r="S126" s="10" t="n">
        <x:v>1</x:v>
      </x:c>
      <x:c r="T126" s="10" t="n">
        <x:v>1</x:v>
      </x:c>
      <x:c r="U126" s="10" t="str">
        <x:v>Completed</x:v>
      </x:c>
      <x:c r="V126" s="10" t="n">
        <x:v>0</x:v>
      </x:c>
      <x:c r="W126" s="10" t="str">
        <x:f>XLOOKUP(F126,'产品维表'!$A$2:$A$5,'产品维表'!$D$2:$D$5,"未映射")</x:f>
        <x:v>H</x:v>
      </x:c>
      <x:c r="X126" s="10" t="str">
        <x:f>XLOOKUP(F126,'产品维表'!$A$2:$A$5,'产品维表'!$B$2:$B$5,"未映射")</x:f>
        <x:v>H1</x:v>
      </x:c>
      <x:c r="Y126" s="10" t="str">
        <x:f>XLOOKUP(G126,'渠道维表'!$A$2:$A$4,'渠道维表'!$B$2:$B$4,"未映射")</x:f>
        <x:v>线上直营</x:v>
      </x:c>
      <x:c r="Z126" s="10" t="str">
        <x:f>XLOOKUP(H126,'区域维表'!$A$2:$A$5,'区域维表'!$B$2:$B$5,"未映射")</x:f>
        <x:v>华东</x:v>
      </x:c>
      <x:c r="AA126" s="10" t="n">
        <x:f>XLOOKUP(B126,'日期维表'!$A$2:$A$43,'日期维表'!$F$2:$F$43,0)</x:f>
        <x:v>10</x:v>
      </x:c>
    </x:row>
    <x:row r="127" ht="15" hidden="0" customHeight="1">
      <x:c r="A127" s="10" t="str">
        <x:v>SO00126</x:v>
      </x:c>
      <x:c r="B127" s="10" t="n">
        <x:v>202404</x:v>
      </x:c>
      <x:c r="C127" s="10" t="n">
        <x:v>45387</x:v>
      </x:c>
      <x:c r="D127" s="10" t="n">
        <x:v>45393</x:v>
      </x:c>
      <x:c r="E127" s="10" t="n">
        <x:v>45393</x:v>
      </x:c>
      <x:c r="F127" s="10" t="n">
        <x:v>201</x:v>
      </x:c>
      <x:c r="G127" s="10" t="n">
        <x:v>3</x:v>
      </x:c>
      <x:c r="H127" s="10" t="n">
        <x:v>1</x:v>
      </x:c>
      <x:c r="I127" s="10" t="n">
        <x:v>32</x:v>
      </x:c>
      <x:c r="J127" s="10" t="n">
        <x:v>32</x:v>
      </x:c>
      <x:c r="K127" s="64" t="n">
        <x:v>4722.03</x:v>
      </x:c>
      <x:c r="L127" s="64" t="n">
        <x:v>166049.45</x:v>
      </x:c>
      <x:c r="M127" s="64" t="n">
        <x:v>14944.45</x:v>
      </x:c>
      <x:c r="N127" s="64" t="n">
        <x:v>151105</x:v>
      </x:c>
      <x:c r="O127" s="64" t="n">
        <x:v>3167.52</x:v>
      </x:c>
      <x:c r="P127" s="64" t="n">
        <x:v>101360.73</x:v>
      </x:c>
      <x:c r="Q127" s="64" t="n">
        <x:v>49744.27</x:v>
      </x:c>
      <x:c r="R127" s="10" t="n">
        <x:v>6</x:v>
      </x:c>
      <x:c r="S127" s="10" t="n">
        <x:v>1</x:v>
      </x:c>
      <x:c r="T127" s="10" t="n">
        <x:v>1</x:v>
      </x:c>
      <x:c r="U127" s="10" t="str">
        <x:v>Completed</x:v>
      </x:c>
      <x:c r="V127" s="10" t="n">
        <x:v>30</x:v>
      </x:c>
      <x:c r="W127" s="10" t="str">
        <x:f>XLOOKUP(F127,'产品维表'!$A$2:$A$5,'产品维表'!$D$2:$D$5,"未映射")</x:f>
        <x:v>H</x:v>
      </x:c>
      <x:c r="X127" s="10" t="str">
        <x:f>XLOOKUP(F127,'产品维表'!$A$2:$A$5,'产品维表'!$B$2:$B$5,"未映射")</x:f>
        <x:v>H1</x:v>
      </x:c>
      <x:c r="Y127" s="10" t="str">
        <x:f>XLOOKUP(G127,'渠道维表'!$A$2:$A$4,'渠道维表'!$B$2:$B$4,"未映射")</x:f>
        <x:v>区域经销</x:v>
      </x:c>
      <x:c r="Z127" s="10" t="str">
        <x:f>XLOOKUP(H127,'区域维表'!$A$2:$A$5,'区域维表'!$B$2:$B$5,"未映射")</x:f>
        <x:v>华东</x:v>
      </x:c>
      <x:c r="AA127" s="10" t="n">
        <x:f>XLOOKUP(B127,'日期维表'!$A$2:$A$43,'日期维表'!$F$2:$F$43,0)</x:f>
        <x:v>10</x:v>
      </x:c>
    </x:row>
    <x:row r="128" ht="15" hidden="0" customHeight="1">
      <x:c r="A128" s="10" t="str">
        <x:v>SO00127</x:v>
      </x:c>
      <x:c r="B128" s="10" t="n">
        <x:v>202404</x:v>
      </x:c>
      <x:c r="C128" s="10" t="n">
        <x:v>45404</x:v>
      </x:c>
      <x:c r="D128" s="10" t="n">
        <x:v>45415</x:v>
      </x:c>
      <x:c r="E128" s="10" t="n">
        <x:v>45415</x:v>
      </x:c>
      <x:c r="F128" s="10" t="n">
        <x:v>202</x:v>
      </x:c>
      <x:c r="G128" s="10" t="n">
        <x:v>1</x:v>
      </x:c>
      <x:c r="H128" s="10" t="n">
        <x:v>1</x:v>
      </x:c>
      <x:c r="I128" s="10" t="n">
        <x:v>24</x:v>
      </x:c>
      <x:c r="J128" s="10" t="n">
        <x:v>24</x:v>
      </x:c>
      <x:c r="K128" s="64" t="n">
        <x:v>4425.38</x:v>
      </x:c>
      <x:c r="L128" s="64" t="n">
        <x:v>106209</x:v>
      </x:c>
      <x:c r="M128" s="64" t="n">
        <x:v>0</x:v>
      </x:c>
      <x:c r="N128" s="64" t="n">
        <x:v>106209</x:v>
      </x:c>
      <x:c r="O128" s="64" t="n">
        <x:v>3191.52</x:v>
      </x:c>
      <x:c r="P128" s="64" t="n">
        <x:v>76596.41</x:v>
      </x:c>
      <x:c r="Q128" s="64" t="n">
        <x:v>29612.59</x:v>
      </x:c>
      <x:c r="R128" s="10" t="n">
        <x:v>11</x:v>
      </x:c>
      <x:c r="S128" s="10" t="n">
        <x:v>1</x:v>
      </x:c>
      <x:c r="T128" s="10" t="n">
        <x:v>1</x:v>
      </x:c>
      <x:c r="U128" s="10" t="str">
        <x:v>Completed</x:v>
      </x:c>
      <x:c r="V128" s="10" t="n">
        <x:v>0</x:v>
      </x:c>
      <x:c r="W128" s="10" t="str">
        <x:f>XLOOKUP(F128,'产品维表'!$A$2:$A$5,'产品维表'!$D$2:$D$5,"未映射")</x:f>
        <x:v>H</x:v>
      </x:c>
      <x:c r="X128" s="10" t="str">
        <x:f>XLOOKUP(F128,'产品维表'!$A$2:$A$5,'产品维表'!$B$2:$B$5,"未映射")</x:f>
        <x:v>H2</x:v>
      </x:c>
      <x:c r="Y128" s="10" t="str">
        <x:f>XLOOKUP(G128,'渠道维表'!$A$2:$A$4,'渠道维表'!$B$2:$B$4,"未映射")</x:f>
        <x:v>线上直营</x:v>
      </x:c>
      <x:c r="Z128" s="10" t="str">
        <x:f>XLOOKUP(H128,'区域维表'!$A$2:$A$5,'区域维表'!$B$2:$B$5,"未映射")</x:f>
        <x:v>华东</x:v>
      </x:c>
      <x:c r="AA128" s="10" t="n">
        <x:f>XLOOKUP(B128,'日期维表'!$A$2:$A$43,'日期维表'!$F$2:$F$43,0)</x:f>
        <x:v>10</x:v>
      </x:c>
    </x:row>
    <x:row r="129" ht="15" hidden="0" customHeight="1">
      <x:c r="A129" s="10" t="str">
        <x:v>SO00128</x:v>
      </x:c>
      <x:c r="B129" s="10" t="n">
        <x:v>202404</x:v>
      </x:c>
      <x:c r="C129" s="10" t="n">
        <x:v>45387</x:v>
      </x:c>
      <x:c r="D129" s="10" t="n">
        <x:v>45395</x:v>
      </x:c>
      <x:c r="E129" s="10" t="n">
        <x:v>45395</x:v>
      </x:c>
      <x:c r="F129" s="10" t="n">
        <x:v>201</x:v>
      </x:c>
      <x:c r="G129" s="10" t="n">
        <x:v>3</x:v>
      </x:c>
      <x:c r="H129" s="10" t="n">
        <x:v>2</x:v>
      </x:c>
      <x:c r="I129" s="10" t="n">
        <x:v>46</x:v>
      </x:c>
      <x:c r="J129" s="10" t="n">
        <x:v>46</x:v>
      </x:c>
      <x:c r="K129" s="64" t="n">
        <x:v>4478.96</x:v>
      </x:c>
      <x:c r="L129" s="64" t="n">
        <x:v>226408.79</x:v>
      </x:c>
      <x:c r="M129" s="64" t="n">
        <x:v>20376.79</x:v>
      </x:c>
      <x:c r="N129" s="64" t="n">
        <x:v>206032</x:v>
      </x:c>
      <x:c r="O129" s="64" t="n">
        <x:v>3154.16</x:v>
      </x:c>
      <x:c r="P129" s="64" t="n">
        <x:v>145091.29</x:v>
      </x:c>
      <x:c r="Q129" s="64" t="n">
        <x:v>60940.71</x:v>
      </x:c>
      <x:c r="R129" s="10" t="n">
        <x:v>8</x:v>
      </x:c>
      <x:c r="S129" s="10" t="n">
        <x:v>1</x:v>
      </x:c>
      <x:c r="T129" s="10" t="n">
        <x:v>1</x:v>
      </x:c>
      <x:c r="U129" s="10" t="str">
        <x:v>Completed</x:v>
      </x:c>
      <x:c r="V129" s="10" t="n">
        <x:v>30</x:v>
      </x:c>
      <x:c r="W129" s="10" t="str">
        <x:f>XLOOKUP(F129,'产品维表'!$A$2:$A$5,'产品维表'!$D$2:$D$5,"未映射")</x:f>
        <x:v>H</x:v>
      </x:c>
      <x:c r="X129" s="10" t="str">
        <x:f>XLOOKUP(F129,'产品维表'!$A$2:$A$5,'产品维表'!$B$2:$B$5,"未映射")</x:f>
        <x:v>H1</x:v>
      </x:c>
      <x:c r="Y129" s="10" t="str">
        <x:f>XLOOKUP(G129,'渠道维表'!$A$2:$A$4,'渠道维表'!$B$2:$B$4,"未映射")</x:f>
        <x:v>区域经销</x:v>
      </x:c>
      <x:c r="Z129" s="10" t="str">
        <x:f>XLOOKUP(H129,'区域维表'!$A$2:$A$5,'区域维表'!$B$2:$B$5,"未映射")</x:f>
        <x:v>华南</x:v>
      </x:c>
      <x:c r="AA129" s="10" t="n">
        <x:f>XLOOKUP(B129,'日期维表'!$A$2:$A$43,'日期维表'!$F$2:$F$43,0)</x:f>
        <x:v>10</x:v>
      </x:c>
    </x:row>
    <x:row r="130" ht="15" hidden="0" customHeight="1">
      <x:c r="A130" s="10" t="str">
        <x:v>SO00129</x:v>
      </x:c>
      <x:c r="B130" s="10" t="n">
        <x:v>202405</x:v>
      </x:c>
      <x:c r="C130" s="10" t="n">
        <x:v>45433</x:v>
      </x:c>
      <x:c r="D130" s="10" t="n">
        <x:v>45439</x:v>
      </x:c>
      <x:c r="E130" s="10" t="n">
        <x:v>45439</x:v>
      </x:c>
      <x:c r="F130" s="10" t="n">
        <x:v>201</x:v>
      </x:c>
      <x:c r="G130" s="10" t="n">
        <x:v>2</x:v>
      </x:c>
      <x:c r="H130" s="10" t="n">
        <x:v>2</x:v>
      </x:c>
      <x:c r="I130" s="10" t="n">
        <x:v>53</x:v>
      </x:c>
      <x:c r="J130" s="10" t="n">
        <x:v>53</x:v>
      </x:c>
      <x:c r="K130" s="64" t="n">
        <x:v>4615.32</x:v>
      </x:c>
      <x:c r="L130" s="64" t="n">
        <x:v>252177.32</x:v>
      </x:c>
      <x:c r="M130" s="64" t="n">
        <x:v>7565.32</x:v>
      </x:c>
      <x:c r="N130" s="64" t="n">
        <x:v>244612</x:v>
      </x:c>
      <x:c r="O130" s="64" t="n">
        <x:v>3142.81</x:v>
      </x:c>
      <x:c r="P130" s="64" t="n">
        <x:v>166568.75</x:v>
      </x:c>
      <x:c r="Q130" s="64" t="n">
        <x:v>78043.25</x:v>
      </x:c>
      <x:c r="R130" s="10" t="n">
        <x:v>6</x:v>
      </x:c>
      <x:c r="S130" s="10" t="n">
        <x:v>1</x:v>
      </x:c>
      <x:c r="T130" s="10" t="n">
        <x:v>1</x:v>
      </x:c>
      <x:c r="U130" s="10" t="str">
        <x:v>Completed</x:v>
      </x:c>
      <x:c r="V130" s="10" t="n">
        <x:v>15</x:v>
      </x:c>
      <x:c r="W130" s="10" t="str">
        <x:f>XLOOKUP(F130,'产品维表'!$A$2:$A$5,'产品维表'!$D$2:$D$5,"未映射")</x:f>
        <x:v>H</x:v>
      </x:c>
      <x:c r="X130" s="10" t="str">
        <x:f>XLOOKUP(F130,'产品维表'!$A$2:$A$5,'产品维表'!$B$2:$B$5,"未映射")</x:f>
        <x:v>H1</x:v>
      </x:c>
      <x:c r="Y130" s="10" t="str">
        <x:f>XLOOKUP(G130,'渠道维表'!$A$2:$A$4,'渠道维表'!$B$2:$B$4,"未映射")</x:f>
        <x:v>线下零售</x:v>
      </x:c>
      <x:c r="Z130" s="10" t="str">
        <x:f>XLOOKUP(H130,'区域维表'!$A$2:$A$5,'区域维表'!$B$2:$B$5,"未映射")</x:f>
        <x:v>华南</x:v>
      </x:c>
      <x:c r="AA130" s="10" t="n">
        <x:f>XLOOKUP(B130,'日期维表'!$A$2:$A$43,'日期维表'!$F$2:$F$43,0)</x:f>
        <x:v>10</x:v>
      </x:c>
    </x:row>
    <x:row r="131" ht="15" hidden="0" customHeight="1">
      <x:c r="A131" s="10" t="str">
        <x:v>SO00130</x:v>
      </x:c>
      <x:c r="B131" s="10" t="n">
        <x:v>202405</x:v>
      </x:c>
      <x:c r="C131" s="10" t="n">
        <x:v>45430</x:v>
      </x:c>
      <x:c r="D131" s="10" t="n">
        <x:v>45439</x:v>
      </x:c>
      <x:c r="E131" s="10" t="n">
        <x:v>45439</x:v>
      </x:c>
      <x:c r="F131" s="10" t="n">
        <x:v>201</x:v>
      </x:c>
      <x:c r="G131" s="10" t="n">
        <x:v>3</x:v>
      </x:c>
      <x:c r="H131" s="10" t="n">
        <x:v>2</x:v>
      </x:c>
      <x:c r="I131" s="10" t="n">
        <x:v>25</x:v>
      </x:c>
      <x:c r="J131" s="10" t="n">
        <x:v>25</x:v>
      </x:c>
      <x:c r="K131" s="64" t="n">
        <x:v>4750.84</x:v>
      </x:c>
      <x:c r="L131" s="64" t="n">
        <x:v>130517.58</x:v>
      </x:c>
      <x:c r="M131" s="64" t="n">
        <x:v>11746.58</x:v>
      </x:c>
      <x:c r="N131" s="64" t="n">
        <x:v>118771</x:v>
      </x:c>
      <x:c r="O131" s="64" t="n">
        <x:v>3167.96</x:v>
      </x:c>
      <x:c r="P131" s="64" t="n">
        <x:v>79199.11</x:v>
      </x:c>
      <x:c r="Q131" s="64" t="n">
        <x:v>39571.89</x:v>
      </x:c>
      <x:c r="R131" s="10" t="n">
        <x:v>9</x:v>
      </x:c>
      <x:c r="S131" s="10" t="n">
        <x:v>1</x:v>
      </x:c>
      <x:c r="T131" s="10" t="n">
        <x:v>1</x:v>
      </x:c>
      <x:c r="U131" s="10" t="str">
        <x:v>Completed</x:v>
      </x:c>
      <x:c r="V131" s="10" t="n">
        <x:v>30</x:v>
      </x:c>
      <x:c r="W131" s="10" t="str">
        <x:f>XLOOKUP(F131,'产品维表'!$A$2:$A$5,'产品维表'!$D$2:$D$5,"未映射")</x:f>
        <x:v>H</x:v>
      </x:c>
      <x:c r="X131" s="10" t="str">
        <x:f>XLOOKUP(F131,'产品维表'!$A$2:$A$5,'产品维表'!$B$2:$B$5,"未映射")</x:f>
        <x:v>H1</x:v>
      </x:c>
      <x:c r="Y131" s="10" t="str">
        <x:f>XLOOKUP(G131,'渠道维表'!$A$2:$A$4,'渠道维表'!$B$2:$B$4,"未映射")</x:f>
        <x:v>区域经销</x:v>
      </x:c>
      <x:c r="Z131" s="10" t="str">
        <x:f>XLOOKUP(H131,'区域维表'!$A$2:$A$5,'区域维表'!$B$2:$B$5,"未映射")</x:f>
        <x:v>华南</x:v>
      </x:c>
      <x:c r="AA131" s="10" t="n">
        <x:f>XLOOKUP(B131,'日期维表'!$A$2:$A$43,'日期维表'!$F$2:$F$43,0)</x:f>
        <x:v>10</x:v>
      </x:c>
    </x:row>
    <x:row r="132" ht="15" hidden="0" customHeight="1">
      <x:c r="A132" s="10" t="str">
        <x:v>SO00131</x:v>
      </x:c>
      <x:c r="B132" s="10" t="n">
        <x:v>202405</x:v>
      </x:c>
      <x:c r="C132" s="10" t="n">
        <x:v>45432</x:v>
      </x:c>
      <x:c r="D132" s="10" t="n">
        <x:v>45441</x:v>
      </x:c>
      <x:c r="E132" s="10" t="n">
        <x:v>45441</x:v>
      </x:c>
      <x:c r="F132" s="10" t="n">
        <x:v>201</x:v>
      </x:c>
      <x:c r="G132" s="10" t="n">
        <x:v>3</x:v>
      </x:c>
      <x:c r="H132" s="10" t="n">
        <x:v>3</x:v>
      </x:c>
      <x:c r="I132" s="10" t="n">
        <x:v>26</x:v>
      </x:c>
      <x:c r="J132" s="10" t="n">
        <x:v>26</x:v>
      </x:c>
      <x:c r="K132" s="64" t="n">
        <x:v>4546.15</x:v>
      </x:c>
      <x:c r="L132" s="64" t="n">
        <x:v>129890.11</x:v>
      </x:c>
      <x:c r="M132" s="64" t="n">
        <x:v>11690.11</x:v>
      </x:c>
      <x:c r="N132" s="64" t="n">
        <x:v>118200</x:v>
      </x:c>
      <x:c r="O132" s="64" t="n">
        <x:v>3232.27</x:v>
      </x:c>
      <x:c r="P132" s="64" t="n">
        <x:v>84038.9</x:v>
      </x:c>
      <x:c r="Q132" s="64" t="n">
        <x:v>34161.1</x:v>
      </x:c>
      <x:c r="R132" s="10" t="n">
        <x:v>9</x:v>
      </x:c>
      <x:c r="S132" s="10" t="n">
        <x:v>1</x:v>
      </x:c>
      <x:c r="T132" s="10" t="n">
        <x:v>1</x:v>
      </x:c>
      <x:c r="U132" s="10" t="str">
        <x:v>Completed</x:v>
      </x:c>
      <x:c r="V132" s="10" t="n">
        <x:v>30</x:v>
      </x:c>
      <x:c r="W132" s="10" t="str">
        <x:f>XLOOKUP(F132,'产品维表'!$A$2:$A$5,'产品维表'!$D$2:$D$5,"未映射")</x:f>
        <x:v>H</x:v>
      </x:c>
      <x:c r="X132" s="10" t="str">
        <x:f>XLOOKUP(F132,'产品维表'!$A$2:$A$5,'产品维表'!$B$2:$B$5,"未映射")</x:f>
        <x:v>H1</x:v>
      </x:c>
      <x:c r="Y132" s="10" t="str">
        <x:f>XLOOKUP(G132,'渠道维表'!$A$2:$A$4,'渠道维表'!$B$2:$B$4,"未映射")</x:f>
        <x:v>区域经销</x:v>
      </x:c>
      <x:c r="Z132" s="10" t="str">
        <x:f>XLOOKUP(H132,'区域维表'!$A$2:$A$5,'区域维表'!$B$2:$B$5,"未映射")</x:f>
        <x:v>华北</x:v>
      </x:c>
      <x:c r="AA132" s="10" t="n">
        <x:f>XLOOKUP(B132,'日期维表'!$A$2:$A$43,'日期维表'!$F$2:$F$43,0)</x:f>
        <x:v>10</x:v>
      </x:c>
    </x:row>
    <x:row r="133" ht="15" hidden="0" customHeight="1">
      <x:c r="A133" s="10" t="str">
        <x:v>SO00132</x:v>
      </x:c>
      <x:c r="B133" s="10" t="n">
        <x:v>202405</x:v>
      </x:c>
      <x:c r="C133" s="10" t="n">
        <x:v>45420</x:v>
      </x:c>
      <x:c r="D133" s="10" t="n">
        <x:v>45432</x:v>
      </x:c>
      <x:c r="E133" s="10" t="n">
        <x:v>45432</x:v>
      </x:c>
      <x:c r="F133" s="10" t="n">
        <x:v>201</x:v>
      </x:c>
      <x:c r="G133" s="10" t="n">
        <x:v>3</x:v>
      </x:c>
      <x:c r="H133" s="10" t="n">
        <x:v>1</x:v>
      </x:c>
      <x:c r="I133" s="10" t="n">
        <x:v>41</x:v>
      </x:c>
      <x:c r="J133" s="10" t="n">
        <x:v>41</x:v>
      </x:c>
      <x:c r="K133" s="64" t="n">
        <x:v>4509</x:v>
      </x:c>
      <x:c r="L133" s="64" t="n">
        <x:v>203152.75</x:v>
      </x:c>
      <x:c r="M133" s="64" t="n">
        <x:v>18283.75</x:v>
      </x:c>
      <x:c r="N133" s="64" t="n">
        <x:v>184869</x:v>
      </x:c>
      <x:c r="O133" s="64" t="n">
        <x:v>3214.02</x:v>
      </x:c>
      <x:c r="P133" s="64" t="n">
        <x:v>131775.02</x:v>
      </x:c>
      <x:c r="Q133" s="64" t="n">
        <x:v>53093.98</x:v>
      </x:c>
      <x:c r="R133" s="10" t="n">
        <x:v>12</x:v>
      </x:c>
      <x:c r="S133" s="10" t="n">
        <x:v>1</x:v>
      </x:c>
      <x:c r="T133" s="10" t="n">
        <x:v>1</x:v>
      </x:c>
      <x:c r="U133" s="10" t="str">
        <x:v>Completed</x:v>
      </x:c>
      <x:c r="V133" s="10" t="n">
        <x:v>30</x:v>
      </x:c>
      <x:c r="W133" s="10" t="str">
        <x:f>XLOOKUP(F133,'产品维表'!$A$2:$A$5,'产品维表'!$D$2:$D$5,"未映射")</x:f>
        <x:v>H</x:v>
      </x:c>
      <x:c r="X133" s="10" t="str">
        <x:f>XLOOKUP(F133,'产品维表'!$A$2:$A$5,'产品维表'!$B$2:$B$5,"未映射")</x:f>
        <x:v>H1</x:v>
      </x:c>
      <x:c r="Y133" s="10" t="str">
        <x:f>XLOOKUP(G133,'渠道维表'!$A$2:$A$4,'渠道维表'!$B$2:$B$4,"未映射")</x:f>
        <x:v>区域经销</x:v>
      </x:c>
      <x:c r="Z133" s="10" t="str">
        <x:f>XLOOKUP(H133,'区域维表'!$A$2:$A$5,'区域维表'!$B$2:$B$5,"未映射")</x:f>
        <x:v>华东</x:v>
      </x:c>
      <x:c r="AA133" s="10" t="n">
        <x:f>XLOOKUP(B133,'日期维表'!$A$2:$A$43,'日期维表'!$F$2:$F$43,0)</x:f>
        <x:v>10</x:v>
      </x:c>
    </x:row>
    <x:row r="134" ht="15" hidden="0" customHeight="1">
      <x:c r="A134" s="10" t="str">
        <x:v>SO00133</x:v>
      </x:c>
      <x:c r="B134" s="10" t="n">
        <x:v>202405</x:v>
      </x:c>
      <x:c r="C134" s="10" t="n">
        <x:v>45427</x:v>
      </x:c>
      <x:c r="D134" s="10" t="n">
        <x:v>45438</x:v>
      </x:c>
      <x:c r="E134" s="10" t="n">
        <x:v>45438</x:v>
      </x:c>
      <x:c r="F134" s="10" t="n">
        <x:v>201</x:v>
      </x:c>
      <x:c r="G134" s="10" t="n">
        <x:v>1</x:v>
      </x:c>
      <x:c r="H134" s="10" t="n">
        <x:v>2</x:v>
      </x:c>
      <x:c r="I134" s="10" t="n">
        <x:v>43</x:v>
      </x:c>
      <x:c r="J134" s="10" t="n">
        <x:v>43</x:v>
      </x:c>
      <x:c r="K134" s="64" t="n">
        <x:v>4414.84</x:v>
      </x:c>
      <x:c r="L134" s="64" t="n">
        <x:v>189838</x:v>
      </x:c>
      <x:c r="M134" s="64" t="n">
        <x:v>0</x:v>
      </x:c>
      <x:c r="N134" s="64" t="n">
        <x:v>189838</x:v>
      </x:c>
      <x:c r="O134" s="64" t="n">
        <x:v>3115.16</x:v>
      </x:c>
      <x:c r="P134" s="64" t="n">
        <x:v>133952.06</x:v>
      </x:c>
      <x:c r="Q134" s="64" t="n">
        <x:v>55885.94</x:v>
      </x:c>
      <x:c r="R134" s="10" t="n">
        <x:v>11</x:v>
      </x:c>
      <x:c r="S134" s="10" t="n">
        <x:v>1</x:v>
      </x:c>
      <x:c r="T134" s="10" t="n">
        <x:v>1</x:v>
      </x:c>
      <x:c r="U134" s="10" t="str">
        <x:v>Completed</x:v>
      </x:c>
      <x:c r="V134" s="10" t="n">
        <x:v>0</x:v>
      </x:c>
      <x:c r="W134" s="10" t="str">
        <x:f>XLOOKUP(F134,'产品维表'!$A$2:$A$5,'产品维表'!$D$2:$D$5,"未映射")</x:f>
        <x:v>H</x:v>
      </x:c>
      <x:c r="X134" s="10" t="str">
        <x:f>XLOOKUP(F134,'产品维表'!$A$2:$A$5,'产品维表'!$B$2:$B$5,"未映射")</x:f>
        <x:v>H1</x:v>
      </x:c>
      <x:c r="Y134" s="10" t="str">
        <x:f>XLOOKUP(G134,'渠道维表'!$A$2:$A$4,'渠道维表'!$B$2:$B$4,"未映射")</x:f>
        <x:v>线上直营</x:v>
      </x:c>
      <x:c r="Z134" s="10" t="str">
        <x:f>XLOOKUP(H134,'区域维表'!$A$2:$A$5,'区域维表'!$B$2:$B$5,"未映射")</x:f>
        <x:v>华南</x:v>
      </x:c>
      <x:c r="AA134" s="10" t="n">
        <x:f>XLOOKUP(B134,'日期维表'!$A$2:$A$43,'日期维表'!$F$2:$F$43,0)</x:f>
        <x:v>10</x:v>
      </x:c>
    </x:row>
    <x:row r="135" ht="15" hidden="0" customHeight="1">
      <x:c r="A135" s="10" t="str">
        <x:v>SO00134</x:v>
      </x:c>
      <x:c r="B135" s="10" t="n">
        <x:v>202405</x:v>
      </x:c>
      <x:c r="C135" s="10" t="n">
        <x:v>45429</x:v>
      </x:c>
      <x:c r="D135" s="10" t="n">
        <x:v>45436</x:v>
      </x:c>
      <x:c r="E135" s="10" t="n">
        <x:v>45436</x:v>
      </x:c>
      <x:c r="F135" s="10" t="n">
        <x:v>201</x:v>
      </x:c>
      <x:c r="G135" s="10" t="n">
        <x:v>3</x:v>
      </x:c>
      <x:c r="H135" s="10" t="n">
        <x:v>1</x:v>
      </x:c>
      <x:c r="I135" s="10" t="n">
        <x:v>30</x:v>
      </x:c>
      <x:c r="J135" s="10" t="n">
        <x:v>30</x:v>
      </x:c>
      <x:c r="K135" s="64" t="n">
        <x:v>4860.57</x:v>
      </x:c>
      <x:c r="L135" s="64" t="n">
        <x:v>160238.46</x:v>
      </x:c>
      <x:c r="M135" s="64" t="n">
        <x:v>14421.46</x:v>
      </x:c>
      <x:c r="N135" s="64" t="n">
        <x:v>145817</x:v>
      </x:c>
      <x:c r="O135" s="64" t="n">
        <x:v>3223.93</x:v>
      </x:c>
      <x:c r="P135" s="64" t="n">
        <x:v>96717.89</x:v>
      </x:c>
      <x:c r="Q135" s="64" t="n">
        <x:v>49099.11</x:v>
      </x:c>
      <x:c r="R135" s="10" t="n">
        <x:v>7</x:v>
      </x:c>
      <x:c r="S135" s="10" t="n">
        <x:v>1</x:v>
      </x:c>
      <x:c r="T135" s="10" t="n">
        <x:v>1</x:v>
      </x:c>
      <x:c r="U135" s="10" t="str">
        <x:v>Completed</x:v>
      </x:c>
      <x:c r="V135" s="10" t="n">
        <x:v>30</x:v>
      </x:c>
      <x:c r="W135" s="10" t="str">
        <x:f>XLOOKUP(F135,'产品维表'!$A$2:$A$5,'产品维表'!$D$2:$D$5,"未映射")</x:f>
        <x:v>H</x:v>
      </x:c>
      <x:c r="X135" s="10" t="str">
        <x:f>XLOOKUP(F135,'产品维表'!$A$2:$A$5,'产品维表'!$B$2:$B$5,"未映射")</x:f>
        <x:v>H1</x:v>
      </x:c>
      <x:c r="Y135" s="10" t="str">
        <x:f>XLOOKUP(G135,'渠道维表'!$A$2:$A$4,'渠道维表'!$B$2:$B$4,"未映射")</x:f>
        <x:v>区域经销</x:v>
      </x:c>
      <x:c r="Z135" s="10" t="str">
        <x:f>XLOOKUP(H135,'区域维表'!$A$2:$A$5,'区域维表'!$B$2:$B$5,"未映射")</x:f>
        <x:v>华东</x:v>
      </x:c>
      <x:c r="AA135" s="10" t="n">
        <x:f>XLOOKUP(B135,'日期维表'!$A$2:$A$43,'日期维表'!$F$2:$F$43,0)</x:f>
        <x:v>10</x:v>
      </x:c>
    </x:row>
    <x:row r="136" ht="15" hidden="0" customHeight="1">
      <x:c r="A136" s="10" t="str">
        <x:v>SO00135</x:v>
      </x:c>
      <x:c r="B136" s="10" t="n">
        <x:v>202405</x:v>
      </x:c>
      <x:c r="C136" s="10" t="n">
        <x:v>45436</x:v>
      </x:c>
      <x:c r="D136" s="10" t="n">
        <x:v>45447</x:v>
      </x:c>
      <x:c r="E136" s="10" t="n">
        <x:v>45447</x:v>
      </x:c>
      <x:c r="F136" s="10" t="n">
        <x:v>201</x:v>
      </x:c>
      <x:c r="G136" s="10" t="n">
        <x:v>2</x:v>
      </x:c>
      <x:c r="H136" s="10" t="n">
        <x:v>3</x:v>
      </x:c>
      <x:c r="I136" s="10" t="n">
        <x:v>53</x:v>
      </x:c>
      <x:c r="J136" s="10" t="n">
        <x:v>53</x:v>
      </x:c>
      <x:c r="K136" s="64" t="n">
        <x:v>4657.57</x:v>
      </x:c>
      <x:c r="L136" s="64" t="n">
        <x:v>254485.57</x:v>
      </x:c>
      <x:c r="M136" s="64" t="n">
        <x:v>7634.57</x:v>
      </x:c>
      <x:c r="N136" s="64" t="n">
        <x:v>246851</x:v>
      </x:c>
      <x:c r="O136" s="64" t="n">
        <x:v>3217.51</x:v>
      </x:c>
      <x:c r="P136" s="64" t="n">
        <x:v>170527.91</x:v>
      </x:c>
      <x:c r="Q136" s="64" t="n">
        <x:v>76323.09</x:v>
      </x:c>
      <x:c r="R136" s="10" t="n">
        <x:v>11</x:v>
      </x:c>
      <x:c r="S136" s="10" t="n">
        <x:v>1</x:v>
      </x:c>
      <x:c r="T136" s="10" t="n">
        <x:v>1</x:v>
      </x:c>
      <x:c r="U136" s="10" t="str">
        <x:v>Completed</x:v>
      </x:c>
      <x:c r="V136" s="10" t="n">
        <x:v>15</x:v>
      </x:c>
      <x:c r="W136" s="10" t="str">
        <x:f>XLOOKUP(F136,'产品维表'!$A$2:$A$5,'产品维表'!$D$2:$D$5,"未映射")</x:f>
        <x:v>H</x:v>
      </x:c>
      <x:c r="X136" s="10" t="str">
        <x:f>XLOOKUP(F136,'产品维表'!$A$2:$A$5,'产品维表'!$B$2:$B$5,"未映射")</x:f>
        <x:v>H1</x:v>
      </x:c>
      <x:c r="Y136" s="10" t="str">
        <x:f>XLOOKUP(G136,'渠道维表'!$A$2:$A$4,'渠道维表'!$B$2:$B$4,"未映射")</x:f>
        <x:v>线下零售</x:v>
      </x:c>
      <x:c r="Z136" s="10" t="str">
        <x:f>XLOOKUP(H136,'区域维表'!$A$2:$A$5,'区域维表'!$B$2:$B$5,"未映射")</x:f>
        <x:v>华北</x:v>
      </x:c>
      <x:c r="AA136" s="10" t="n">
        <x:f>XLOOKUP(B136,'日期维表'!$A$2:$A$43,'日期维表'!$F$2:$F$43,0)</x:f>
        <x:v>10</x:v>
      </x:c>
    </x:row>
    <x:row r="137" ht="15" hidden="0" customHeight="1">
      <x:c r="A137" s="10" t="str">
        <x:v>SO00136</x:v>
      </x:c>
      <x:c r="B137" s="10" t="n">
        <x:v>202405</x:v>
      </x:c>
      <x:c r="C137" s="10" t="n">
        <x:v>45433</x:v>
      </x:c>
      <x:c r="D137" s="10" t="n">
        <x:v>45444</x:v>
      </x:c>
      <x:c r="E137" s="10" t="n">
        <x:v>45444</x:v>
      </x:c>
      <x:c r="F137" s="10" t="n">
        <x:v>202</x:v>
      </x:c>
      <x:c r="G137" s="10" t="n">
        <x:v>3</x:v>
      </x:c>
      <x:c r="H137" s="10" t="n">
        <x:v>2</x:v>
      </x:c>
      <x:c r="I137" s="10" t="n">
        <x:v>46</x:v>
      </x:c>
      <x:c r="J137" s="10" t="n">
        <x:v>46</x:v>
      </x:c>
      <x:c r="K137" s="64" t="n">
        <x:v>4457.54</x:v>
      </x:c>
      <x:c r="L137" s="64" t="n">
        <x:v>225326.37</x:v>
      </x:c>
      <x:c r="M137" s="64" t="n">
        <x:v>20279.37</x:v>
      </x:c>
      <x:c r="N137" s="64" t="n">
        <x:v>205047</x:v>
      </x:c>
      <x:c r="O137" s="64" t="n">
        <x:v>3145.5</x:v>
      </x:c>
      <x:c r="P137" s="64" t="n">
        <x:v>144692.95</x:v>
      </x:c>
      <x:c r="Q137" s="64" t="n">
        <x:v>60354.05</x:v>
      </x:c>
      <x:c r="R137" s="10" t="n">
        <x:v>11</x:v>
      </x:c>
      <x:c r="S137" s="10" t="n">
        <x:v>1</x:v>
      </x:c>
      <x:c r="T137" s="10" t="n">
        <x:v>1</x:v>
      </x:c>
      <x:c r="U137" s="10" t="str">
        <x:v>Completed</x:v>
      </x:c>
      <x:c r="V137" s="10" t="n">
        <x:v>30</x:v>
      </x:c>
      <x:c r="W137" s="10" t="str">
        <x:f>XLOOKUP(F137,'产品维表'!$A$2:$A$5,'产品维表'!$D$2:$D$5,"未映射")</x:f>
        <x:v>H</x:v>
      </x:c>
      <x:c r="X137" s="10" t="str">
        <x:f>XLOOKUP(F137,'产品维表'!$A$2:$A$5,'产品维表'!$B$2:$B$5,"未映射")</x:f>
        <x:v>H2</x:v>
      </x:c>
      <x:c r="Y137" s="10" t="str">
        <x:f>XLOOKUP(G137,'渠道维表'!$A$2:$A$4,'渠道维表'!$B$2:$B$4,"未映射")</x:f>
        <x:v>区域经销</x:v>
      </x:c>
      <x:c r="Z137" s="10" t="str">
        <x:f>XLOOKUP(H137,'区域维表'!$A$2:$A$5,'区域维表'!$B$2:$B$5,"未映射")</x:f>
        <x:v>华南</x:v>
      </x:c>
      <x:c r="AA137" s="10" t="n">
        <x:f>XLOOKUP(B137,'日期维表'!$A$2:$A$43,'日期维表'!$F$2:$F$43,0)</x:f>
        <x:v>10</x:v>
      </x:c>
    </x:row>
    <x:row r="138" ht="15" hidden="0" customHeight="1">
      <x:c r="A138" s="10" t="str">
        <x:v>SO00137</x:v>
      </x:c>
      <x:c r="B138" s="10" t="n">
        <x:v>202406</x:v>
      </x:c>
      <x:c r="C138" s="10" t="n">
        <x:v>45457</x:v>
      </x:c>
      <x:c r="D138" s="10" t="n">
        <x:v>45466</x:v>
      </x:c>
      <x:c r="E138" s="10" t="n">
        <x:v>45466</x:v>
      </x:c>
      <x:c r="F138" s="10" t="n">
        <x:v>202</x:v>
      </x:c>
      <x:c r="G138" s="10" t="n">
        <x:v>2</x:v>
      </x:c>
      <x:c r="H138" s="10" t="n">
        <x:v>1</x:v>
      </x:c>
      <x:c r="I138" s="10" t="n">
        <x:v>49</x:v>
      </x:c>
      <x:c r="J138" s="10" t="n">
        <x:v>49</x:v>
      </x:c>
      <x:c r="K138" s="64" t="n">
        <x:v>4819.16</x:v>
      </x:c>
      <x:c r="L138" s="64" t="n">
        <x:v>243442.27</x:v>
      </x:c>
      <x:c r="M138" s="64" t="n">
        <x:v>7303.27</x:v>
      </x:c>
      <x:c r="N138" s="64" t="n">
        <x:v>236139</x:v>
      </x:c>
      <x:c r="O138" s="64" t="n">
        <x:v>3809.27</x:v>
      </x:c>
      <x:c r="P138" s="64" t="n">
        <x:v>186654.04</x:v>
      </x:c>
      <x:c r="Q138" s="64" t="n">
        <x:v>49484.96</x:v>
      </x:c>
      <x:c r="R138" s="10" t="n">
        <x:v>9</x:v>
      </x:c>
      <x:c r="S138" s="10" t="n">
        <x:v>1</x:v>
      </x:c>
      <x:c r="T138" s="10" t="n">
        <x:v>1</x:v>
      </x:c>
      <x:c r="U138" s="10" t="str">
        <x:v>Completed</x:v>
      </x:c>
      <x:c r="V138" s="10" t="n">
        <x:v>15</x:v>
      </x:c>
      <x:c r="W138" s="10" t="str">
        <x:f>XLOOKUP(F138,'产品维表'!$A$2:$A$5,'产品维表'!$D$2:$D$5,"未映射")</x:f>
        <x:v>H</x:v>
      </x:c>
      <x:c r="X138" s="10" t="str">
        <x:f>XLOOKUP(F138,'产品维表'!$A$2:$A$5,'产品维表'!$B$2:$B$5,"未映射")</x:f>
        <x:v>H2</x:v>
      </x:c>
      <x:c r="Y138" s="10" t="str">
        <x:f>XLOOKUP(G138,'渠道维表'!$A$2:$A$4,'渠道维表'!$B$2:$B$4,"未映射")</x:f>
        <x:v>线下零售</x:v>
      </x:c>
      <x:c r="Z138" s="10" t="str">
        <x:f>XLOOKUP(H138,'区域维表'!$A$2:$A$5,'区域维表'!$B$2:$B$5,"未映射")</x:f>
        <x:v>华东</x:v>
      </x:c>
      <x:c r="AA138" s="10" t="n">
        <x:f>XLOOKUP(B138,'日期维表'!$A$2:$A$43,'日期维表'!$F$2:$F$43,0)</x:f>
        <x:v>10</x:v>
      </x:c>
    </x:row>
    <x:row r="139" ht="15" hidden="0" customHeight="1">
      <x:c r="A139" s="10" t="str">
        <x:v>SO00138</x:v>
      </x:c>
      <x:c r="B139" s="10" t="n">
        <x:v>202406</x:v>
      </x:c>
      <x:c r="C139" s="10" t="n">
        <x:v>45459</x:v>
      </x:c>
      <x:c r="D139" s="10" t="n">
        <x:v>45469</x:v>
      </x:c>
      <x:c r="E139" s="10" t="n">
        <x:v>45469</x:v>
      </x:c>
      <x:c r="F139" s="10" t="n">
        <x:v>201</x:v>
      </x:c>
      <x:c r="G139" s="10" t="n">
        <x:v>1</x:v>
      </x:c>
      <x:c r="H139" s="10" t="n">
        <x:v>3</x:v>
      </x:c>
      <x:c r="I139" s="10" t="n">
        <x:v>22</x:v>
      </x:c>
      <x:c r="J139" s="10" t="n">
        <x:v>22</x:v>
      </x:c>
      <x:c r="K139" s="64" t="n">
        <x:v>4352.86</x:v>
      </x:c>
      <x:c r="L139" s="64" t="n">
        <x:v>95763</x:v>
      </x:c>
      <x:c r="M139" s="64" t="n">
        <x:v>0</x:v>
      </x:c>
      <x:c r="N139" s="64" t="n">
        <x:v>95763</x:v>
      </x:c>
      <x:c r="O139" s="64" t="n">
        <x:v>3159.16</x:v>
      </x:c>
      <x:c r="P139" s="64" t="n">
        <x:v>69501.5</x:v>
      </x:c>
      <x:c r="Q139" s="64" t="n">
        <x:v>26261.5</x:v>
      </x:c>
      <x:c r="R139" s="10" t="n">
        <x:v>10</x:v>
      </x:c>
      <x:c r="S139" s="10" t="n">
        <x:v>1</x:v>
      </x:c>
      <x:c r="T139" s="10" t="n">
        <x:v>1</x:v>
      </x:c>
      <x:c r="U139" s="10" t="str">
        <x:v>Completed</x:v>
      </x:c>
      <x:c r="V139" s="10" t="n">
        <x:v>0</x:v>
      </x:c>
      <x:c r="W139" s="10" t="str">
        <x:f>XLOOKUP(F139,'产品维表'!$A$2:$A$5,'产品维表'!$D$2:$D$5,"未映射")</x:f>
        <x:v>H</x:v>
      </x:c>
      <x:c r="X139" s="10" t="str">
        <x:f>XLOOKUP(F139,'产品维表'!$A$2:$A$5,'产品维表'!$B$2:$B$5,"未映射")</x:f>
        <x:v>H1</x:v>
      </x:c>
      <x:c r="Y139" s="10" t="str">
        <x:f>XLOOKUP(G139,'渠道维表'!$A$2:$A$4,'渠道维表'!$B$2:$B$4,"未映射")</x:f>
        <x:v>线上直营</x:v>
      </x:c>
      <x:c r="Z139" s="10" t="str">
        <x:f>XLOOKUP(H139,'区域维表'!$A$2:$A$5,'区域维表'!$B$2:$B$5,"未映射")</x:f>
        <x:v>华北</x:v>
      </x:c>
      <x:c r="AA139" s="10" t="n">
        <x:f>XLOOKUP(B139,'日期维表'!$A$2:$A$43,'日期维表'!$F$2:$F$43,0)</x:f>
        <x:v>10</x:v>
      </x:c>
    </x:row>
    <x:row r="140" ht="15" hidden="0" customHeight="1">
      <x:c r="A140" s="10" t="str">
        <x:v>SO00139</x:v>
      </x:c>
      <x:c r="B140" s="10" t="n">
        <x:v>202406</x:v>
      </x:c>
      <x:c r="C140" s="10" t="n">
        <x:v>45453</x:v>
      </x:c>
      <x:c r="D140" s="10" t="n">
        <x:v>45463</x:v>
      </x:c>
      <x:c r="E140" s="10" t="n">
        <x:v>45463</x:v>
      </x:c>
      <x:c r="F140" s="10" t="n">
        <x:v>201</x:v>
      </x:c>
      <x:c r="G140" s="10" t="n">
        <x:v>1</x:v>
      </x:c>
      <x:c r="H140" s="10" t="n">
        <x:v>1</x:v>
      </x:c>
      <x:c r="I140" s="10" t="n">
        <x:v>60</x:v>
      </x:c>
      <x:c r="J140" s="10" t="n">
        <x:v>60</x:v>
      </x:c>
      <x:c r="K140" s="64" t="n">
        <x:v>4811.77</x:v>
      </x:c>
      <x:c r="L140" s="64" t="n">
        <x:v>288706</x:v>
      </x:c>
      <x:c r="M140" s="64" t="n">
        <x:v>0</x:v>
      </x:c>
      <x:c r="N140" s="64" t="n">
        <x:v>288706</x:v>
      </x:c>
      <x:c r="O140" s="64" t="n">
        <x:v>3215.34</x:v>
      </x:c>
      <x:c r="P140" s="64" t="n">
        <x:v>192920.28</x:v>
      </x:c>
      <x:c r="Q140" s="64" t="n">
        <x:v>95785.72</x:v>
      </x:c>
      <x:c r="R140" s="10" t="n">
        <x:v>10</x:v>
      </x:c>
      <x:c r="S140" s="10" t="n">
        <x:v>1</x:v>
      </x:c>
      <x:c r="T140" s="10" t="n">
        <x:v>1</x:v>
      </x:c>
      <x:c r="U140" s="10" t="str">
        <x:v>Completed</x:v>
      </x:c>
      <x:c r="V140" s="10" t="n">
        <x:v>0</x:v>
      </x:c>
      <x:c r="W140" s="10" t="str">
        <x:f>XLOOKUP(F140,'产品维表'!$A$2:$A$5,'产品维表'!$D$2:$D$5,"未映射")</x:f>
        <x:v>H</x:v>
      </x:c>
      <x:c r="X140" s="10" t="str">
        <x:f>XLOOKUP(F140,'产品维表'!$A$2:$A$5,'产品维表'!$B$2:$B$5,"未映射")</x:f>
        <x:v>H1</x:v>
      </x:c>
      <x:c r="Y140" s="10" t="str">
        <x:f>XLOOKUP(G140,'渠道维表'!$A$2:$A$4,'渠道维表'!$B$2:$B$4,"未映射")</x:f>
        <x:v>线上直营</x:v>
      </x:c>
      <x:c r="Z140" s="10" t="str">
        <x:f>XLOOKUP(H140,'区域维表'!$A$2:$A$5,'区域维表'!$B$2:$B$5,"未映射")</x:f>
        <x:v>华东</x:v>
      </x:c>
      <x:c r="AA140" s="10" t="n">
        <x:f>XLOOKUP(B140,'日期维表'!$A$2:$A$43,'日期维表'!$F$2:$F$43,0)</x:f>
        <x:v>10</x:v>
      </x:c>
    </x:row>
    <x:row r="141" ht="15" hidden="0" customHeight="1">
      <x:c r="A141" s="10" t="str">
        <x:v>SO00140</x:v>
      </x:c>
      <x:c r="B141" s="10" t="n">
        <x:v>202406</x:v>
      </x:c>
      <x:c r="C141" s="10" t="n">
        <x:v>45450</x:v>
      </x:c>
      <x:c r="D141" s="10" t="n">
        <x:v>45459</x:v>
      </x:c>
      <x:c r="E141" s="10" t="n">
        <x:v>45459</x:v>
      </x:c>
      <x:c r="F141" s="10" t="n">
        <x:v>201</x:v>
      </x:c>
      <x:c r="G141" s="10" t="n">
        <x:v>3</x:v>
      </x:c>
      <x:c r="H141" s="10" t="n">
        <x:v>3</x:v>
      </x:c>
      <x:c r="I141" s="10" t="n">
        <x:v>24</x:v>
      </x:c>
      <x:c r="J141" s="10" t="n">
        <x:v>24</x:v>
      </x:c>
      <x:c r="K141" s="64" t="n">
        <x:v>4332.08</x:v>
      </x:c>
      <x:c r="L141" s="64" t="n">
        <x:v>114252.75</x:v>
      </x:c>
      <x:c r="M141" s="64" t="n">
        <x:v>10282.75</x:v>
      </x:c>
      <x:c r="N141" s="64" t="n">
        <x:v>103970</x:v>
      </x:c>
      <x:c r="O141" s="64" t="n">
        <x:v>3107.4</x:v>
      </x:c>
      <x:c r="P141" s="64" t="n">
        <x:v>74577.51</x:v>
      </x:c>
      <x:c r="Q141" s="64" t="n">
        <x:v>29392.49</x:v>
      </x:c>
      <x:c r="R141" s="10" t="n">
        <x:v>9</x:v>
      </x:c>
      <x:c r="S141" s="10" t="n">
        <x:v>1</x:v>
      </x:c>
      <x:c r="T141" s="10" t="n">
        <x:v>1</x:v>
      </x:c>
      <x:c r="U141" s="10" t="str">
        <x:v>Completed</x:v>
      </x:c>
      <x:c r="V141" s="10" t="n">
        <x:v>30</x:v>
      </x:c>
      <x:c r="W141" s="10" t="str">
        <x:f>XLOOKUP(F141,'产品维表'!$A$2:$A$5,'产品维表'!$D$2:$D$5,"未映射")</x:f>
        <x:v>H</x:v>
      </x:c>
      <x:c r="X141" s="10" t="str">
        <x:f>XLOOKUP(F141,'产品维表'!$A$2:$A$5,'产品维表'!$B$2:$B$5,"未映射")</x:f>
        <x:v>H1</x:v>
      </x:c>
      <x:c r="Y141" s="10" t="str">
        <x:f>XLOOKUP(G141,'渠道维表'!$A$2:$A$4,'渠道维表'!$B$2:$B$4,"未映射")</x:f>
        <x:v>区域经销</x:v>
      </x:c>
      <x:c r="Z141" s="10" t="str">
        <x:f>XLOOKUP(H141,'区域维表'!$A$2:$A$5,'区域维表'!$B$2:$B$5,"未映射")</x:f>
        <x:v>华北</x:v>
      </x:c>
      <x:c r="AA141" s="10" t="n">
        <x:f>XLOOKUP(B141,'日期维表'!$A$2:$A$43,'日期维表'!$F$2:$F$43,0)</x:f>
        <x:v>10</x:v>
      </x:c>
    </x:row>
    <x:row r="142" ht="15" hidden="0" customHeight="1">
      <x:c r="A142" s="10" t="str">
        <x:v>SO00141</x:v>
      </x:c>
      <x:c r="B142" s="10" t="n">
        <x:v>202406</x:v>
      </x:c>
      <x:c r="C142" s="10" t="n">
        <x:v>45450</x:v>
      </x:c>
      <x:c r="D142" s="10" t="n">
        <x:v>45461</x:v>
      </x:c>
      <x:c r="E142" s="10" t="n">
        <x:v>45461</x:v>
      </x:c>
      <x:c r="F142" s="10" t="n">
        <x:v>202</x:v>
      </x:c>
      <x:c r="G142" s="10" t="n">
        <x:v>1</x:v>
      </x:c>
      <x:c r="H142" s="10" t="n">
        <x:v>1</x:v>
      </x:c>
      <x:c r="I142" s="10" t="n">
        <x:v>39</x:v>
      </x:c>
      <x:c r="J142" s="10" t="n">
        <x:v>39</x:v>
      </x:c>
      <x:c r="K142" s="64" t="n">
        <x:v>4793.82</x:v>
      </x:c>
      <x:c r="L142" s="64" t="n">
        <x:v>186959</x:v>
      </x:c>
      <x:c r="M142" s="64" t="n">
        <x:v>0</x:v>
      </x:c>
      <x:c r="N142" s="64" t="n">
        <x:v>186959</x:v>
      </x:c>
      <x:c r="O142" s="64" t="n">
        <x:v>3865.85</x:v>
      </x:c>
      <x:c r="P142" s="64" t="n">
        <x:v>150768.08</x:v>
      </x:c>
      <x:c r="Q142" s="64" t="n">
        <x:v>36190.92</x:v>
      </x:c>
      <x:c r="R142" s="10" t="n">
        <x:v>11</x:v>
      </x:c>
      <x:c r="S142" s="10" t="n">
        <x:v>1</x:v>
      </x:c>
      <x:c r="T142" s="10" t="n">
        <x:v>1</x:v>
      </x:c>
      <x:c r="U142" s="10" t="str">
        <x:v>Completed</x:v>
      </x:c>
      <x:c r="V142" s="10" t="n">
        <x:v>0</x:v>
      </x:c>
      <x:c r="W142" s="10" t="str">
        <x:f>XLOOKUP(F142,'产品维表'!$A$2:$A$5,'产品维表'!$D$2:$D$5,"未映射")</x:f>
        <x:v>H</x:v>
      </x:c>
      <x:c r="X142" s="10" t="str">
        <x:f>XLOOKUP(F142,'产品维表'!$A$2:$A$5,'产品维表'!$B$2:$B$5,"未映射")</x:f>
        <x:v>H2</x:v>
      </x:c>
      <x:c r="Y142" s="10" t="str">
        <x:f>XLOOKUP(G142,'渠道维表'!$A$2:$A$4,'渠道维表'!$B$2:$B$4,"未映射")</x:f>
        <x:v>线上直营</x:v>
      </x:c>
      <x:c r="Z142" s="10" t="str">
        <x:f>XLOOKUP(H142,'区域维表'!$A$2:$A$5,'区域维表'!$B$2:$B$5,"未映射")</x:f>
        <x:v>华东</x:v>
      </x:c>
      <x:c r="AA142" s="10" t="n">
        <x:f>XLOOKUP(B142,'日期维表'!$A$2:$A$43,'日期维表'!$F$2:$F$43,0)</x:f>
        <x:v>10</x:v>
      </x:c>
    </x:row>
    <x:row r="143" ht="15" hidden="0" customHeight="1">
      <x:c r="A143" s="10" t="str">
        <x:v>SO00142</x:v>
      </x:c>
      <x:c r="B143" s="10" t="n">
        <x:v>202406</x:v>
      </x:c>
      <x:c r="C143" s="10" t="n">
        <x:v>45464</x:v>
      </x:c>
      <x:c r="D143" s="10" t="n">
        <x:v>45472</x:v>
      </x:c>
      <x:c r="E143" s="10" t="n">
        <x:v>45472</x:v>
      </x:c>
      <x:c r="F143" s="10" t="n">
        <x:v>201</x:v>
      </x:c>
      <x:c r="G143" s="10" t="n">
        <x:v>3</x:v>
      </x:c>
      <x:c r="H143" s="10" t="n">
        <x:v>3</x:v>
      </x:c>
      <x:c r="I143" s="10" t="n">
        <x:v>59</x:v>
      </x:c>
      <x:c r="J143" s="10" t="n">
        <x:v>59</x:v>
      </x:c>
      <x:c r="K143" s="64" t="n">
        <x:v>4256.19</x:v>
      </x:c>
      <x:c r="L143" s="64" t="n">
        <x:v>275950.55</x:v>
      </x:c>
      <x:c r="M143" s="64" t="n">
        <x:v>24835.55</x:v>
      </x:c>
      <x:c r="N143" s="64" t="n">
        <x:v>251115</x:v>
      </x:c>
      <x:c r="O143" s="64" t="n">
        <x:v>3129.11</x:v>
      </x:c>
      <x:c r="P143" s="64" t="n">
        <x:v>184617.62</x:v>
      </x:c>
      <x:c r="Q143" s="64" t="n">
        <x:v>66497.38</x:v>
      </x:c>
      <x:c r="R143" s="10" t="n">
        <x:v>8</x:v>
      </x:c>
      <x:c r="S143" s="10" t="n">
        <x:v>1</x:v>
      </x:c>
      <x:c r="T143" s="10" t="n">
        <x:v>1</x:v>
      </x:c>
      <x:c r="U143" s="10" t="str">
        <x:v>Completed</x:v>
      </x:c>
      <x:c r="V143" s="10" t="n">
        <x:v>30</x:v>
      </x:c>
      <x:c r="W143" s="10" t="str">
        <x:f>XLOOKUP(F143,'产品维表'!$A$2:$A$5,'产品维表'!$D$2:$D$5,"未映射")</x:f>
        <x:v>H</x:v>
      </x:c>
      <x:c r="X143" s="10" t="str">
        <x:f>XLOOKUP(F143,'产品维表'!$A$2:$A$5,'产品维表'!$B$2:$B$5,"未映射")</x:f>
        <x:v>H1</x:v>
      </x:c>
      <x:c r="Y143" s="10" t="str">
        <x:f>XLOOKUP(G143,'渠道维表'!$A$2:$A$4,'渠道维表'!$B$2:$B$4,"未映射")</x:f>
        <x:v>区域经销</x:v>
      </x:c>
      <x:c r="Z143" s="10" t="str">
        <x:f>XLOOKUP(H143,'区域维表'!$A$2:$A$5,'区域维表'!$B$2:$B$5,"未映射")</x:f>
        <x:v>华北</x:v>
      </x:c>
      <x:c r="AA143" s="10" t="n">
        <x:f>XLOOKUP(B143,'日期维表'!$A$2:$A$43,'日期维表'!$F$2:$F$43,0)</x:f>
        <x:v>10</x:v>
      </x:c>
    </x:row>
    <x:row r="144" ht="15" hidden="0" customHeight="1">
      <x:c r="A144" s="10" t="str">
        <x:v>SO00143</x:v>
      </x:c>
      <x:c r="B144" s="10" t="n">
        <x:v>202406</x:v>
      </x:c>
      <x:c r="C144" s="10" t="n">
        <x:v>45449</x:v>
      </x:c>
      <x:c r="D144" s="10" t="n">
        <x:v>45461</x:v>
      </x:c>
      <x:c r="E144" s="10" t="n">
        <x:v>45461</x:v>
      </x:c>
      <x:c r="F144" s="10" t="n">
        <x:v>201</x:v>
      </x:c>
      <x:c r="G144" s="10" t="n">
        <x:v>1</x:v>
      </x:c>
      <x:c r="H144" s="10" t="n">
        <x:v>1</x:v>
      </x:c>
      <x:c r="I144" s="10" t="n">
        <x:v>30</x:v>
      </x:c>
      <x:c r="J144" s="10" t="n">
        <x:v>30</x:v>
      </x:c>
      <x:c r="K144" s="64" t="n">
        <x:v>4383.6</x:v>
      </x:c>
      <x:c r="L144" s="64" t="n">
        <x:v>131508</x:v>
      </x:c>
      <x:c r="M144" s="64" t="n">
        <x:v>0</x:v>
      </x:c>
      <x:c r="N144" s="64" t="n">
        <x:v>131508</x:v>
      </x:c>
      <x:c r="O144" s="64" t="n">
        <x:v>3124.38</x:v>
      </x:c>
      <x:c r="P144" s="64" t="n">
        <x:v>93731.5</x:v>
      </x:c>
      <x:c r="Q144" s="64" t="n">
        <x:v>37776.5</x:v>
      </x:c>
      <x:c r="R144" s="10" t="n">
        <x:v>12</x:v>
      </x:c>
      <x:c r="S144" s="10" t="n">
        <x:v>1</x:v>
      </x:c>
      <x:c r="T144" s="10" t="n">
        <x:v>1</x:v>
      </x:c>
      <x:c r="U144" s="10" t="str">
        <x:v>Completed</x:v>
      </x:c>
      <x:c r="V144" s="10" t="n">
        <x:v>0</x:v>
      </x:c>
      <x:c r="W144" s="10" t="str">
        <x:f>XLOOKUP(F144,'产品维表'!$A$2:$A$5,'产品维表'!$D$2:$D$5,"未映射")</x:f>
        <x:v>H</x:v>
      </x:c>
      <x:c r="X144" s="10" t="str">
        <x:f>XLOOKUP(F144,'产品维表'!$A$2:$A$5,'产品维表'!$B$2:$B$5,"未映射")</x:f>
        <x:v>H1</x:v>
      </x:c>
      <x:c r="Y144" s="10" t="str">
        <x:f>XLOOKUP(G144,'渠道维表'!$A$2:$A$4,'渠道维表'!$B$2:$B$4,"未映射")</x:f>
        <x:v>线上直营</x:v>
      </x:c>
      <x:c r="Z144" s="10" t="str">
        <x:f>XLOOKUP(H144,'区域维表'!$A$2:$A$5,'区域维表'!$B$2:$B$5,"未映射")</x:f>
        <x:v>华东</x:v>
      </x:c>
      <x:c r="AA144" s="10" t="n">
        <x:f>XLOOKUP(B144,'日期维表'!$A$2:$A$43,'日期维表'!$F$2:$F$43,0)</x:f>
        <x:v>10</x:v>
      </x:c>
    </x:row>
    <x:row r="145" ht="15" hidden="0" customHeight="1">
      <x:c r="A145" s="10" t="str">
        <x:v>SO00144</x:v>
      </x:c>
      <x:c r="B145" s="10" t="n">
        <x:v>202406</x:v>
      </x:c>
      <x:c r="C145" s="10" t="n">
        <x:v>45466</x:v>
      </x:c>
      <x:c r="D145" s="10" t="n">
        <x:v>45474</x:v>
      </x:c>
      <x:c r="E145" s="10" t="n">
        <x:v>45474</x:v>
      </x:c>
      <x:c r="F145" s="10" t="n">
        <x:v>201</x:v>
      </x:c>
      <x:c r="G145" s="10" t="n">
        <x:v>3</x:v>
      </x:c>
      <x:c r="H145" s="10" t="n">
        <x:v>1</x:v>
      </x:c>
      <x:c r="I145" s="10" t="n">
        <x:v>39</x:v>
      </x:c>
      <x:c r="J145" s="10" t="n">
        <x:v>39</x:v>
      </x:c>
      <x:c r="K145" s="64" t="n">
        <x:v>4640.59</x:v>
      </x:c>
      <x:c r="L145" s="64" t="n">
        <x:v>198882.42</x:v>
      </x:c>
      <x:c r="M145" s="64" t="n">
        <x:v>17899.42</x:v>
      </x:c>
      <x:c r="N145" s="64" t="n">
        <x:v>180983</x:v>
      </x:c>
      <x:c r="O145" s="64" t="n">
        <x:v>3143.61</x:v>
      </x:c>
      <x:c r="P145" s="64" t="n">
        <x:v>122600.86</x:v>
      </x:c>
      <x:c r="Q145" s="64" t="n">
        <x:v>58382.14</x:v>
      </x:c>
      <x:c r="R145" s="10" t="n">
        <x:v>8</x:v>
      </x:c>
      <x:c r="S145" s="10" t="n">
        <x:v>1</x:v>
      </x:c>
      <x:c r="T145" s="10" t="n">
        <x:v>1</x:v>
      </x:c>
      <x:c r="U145" s="10" t="str">
        <x:v>Completed</x:v>
      </x:c>
      <x:c r="V145" s="10" t="n">
        <x:v>30</x:v>
      </x:c>
      <x:c r="W145" s="10" t="str">
        <x:f>XLOOKUP(F145,'产品维表'!$A$2:$A$5,'产品维表'!$D$2:$D$5,"未映射")</x:f>
        <x:v>H</x:v>
      </x:c>
      <x:c r="X145" s="10" t="str">
        <x:f>XLOOKUP(F145,'产品维表'!$A$2:$A$5,'产品维表'!$B$2:$B$5,"未映射")</x:f>
        <x:v>H1</x:v>
      </x:c>
      <x:c r="Y145" s="10" t="str">
        <x:f>XLOOKUP(G145,'渠道维表'!$A$2:$A$4,'渠道维表'!$B$2:$B$4,"未映射")</x:f>
        <x:v>区域经销</x:v>
      </x:c>
      <x:c r="Z145" s="10" t="str">
        <x:f>XLOOKUP(H145,'区域维表'!$A$2:$A$5,'区域维表'!$B$2:$B$5,"未映射")</x:f>
        <x:v>华东</x:v>
      </x:c>
      <x:c r="AA145" s="10" t="n">
        <x:f>XLOOKUP(B145,'日期维表'!$A$2:$A$43,'日期维表'!$F$2:$F$43,0)</x:f>
        <x:v>10</x:v>
      </x:c>
    </x:row>
    <x:row r="146" ht="15" hidden="0" customHeight="1">
      <x:c r="A146" s="10" t="str">
        <x:v>SO00145</x:v>
      </x:c>
      <x:c r="B146" s="10" t="n">
        <x:v>202406</x:v>
      </x:c>
      <x:c r="C146" s="10" t="n">
        <x:v>45463</x:v>
      </x:c>
      <x:c r="D146" s="10" t="n">
        <x:v>45474</x:v>
      </x:c>
      <x:c r="E146" s="10" t="n">
        <x:v>45477</x:v>
      </x:c>
      <x:c r="F146" s="10" t="n">
        <x:v>201</x:v>
      </x:c>
      <x:c r="G146" s="10" t="n">
        <x:v>3</x:v>
      </x:c>
      <x:c r="H146" s="10" t="n">
        <x:v>2</x:v>
      </x:c>
      <x:c r="I146" s="10" t="n">
        <x:v>38</x:v>
      </x:c>
      <x:c r="J146" s="10" t="n">
        <x:v>38</x:v>
      </x:c>
      <x:c r="K146" s="64" t="n">
        <x:v>4836</x:v>
      </x:c>
      <x:c r="L146" s="64" t="n">
        <x:v>201942.86</x:v>
      </x:c>
      <x:c r="M146" s="64" t="n">
        <x:v>18174.86</x:v>
      </x:c>
      <x:c r="N146" s="64" t="n">
        <x:v>183768</x:v>
      </x:c>
      <x:c r="O146" s="64" t="n">
        <x:v>3212.43</x:v>
      </x:c>
      <x:c r="P146" s="64" t="n">
        <x:v>122072.39</x:v>
      </x:c>
      <x:c r="Q146" s="64" t="n">
        <x:v>61695.61</x:v>
      </x:c>
      <x:c r="R146" s="10" t="n">
        <x:v>14</x:v>
      </x:c>
      <x:c r="S146" s="10" t="n">
        <x:v>0</x:v>
      </x:c>
      <x:c r="T146" s="10" t="n">
        <x:v>1</x:v>
      </x:c>
      <x:c r="U146" s="10" t="str">
        <x:v>Completed</x:v>
      </x:c>
      <x:c r="V146" s="10" t="n">
        <x:v>30</x:v>
      </x:c>
      <x:c r="W146" s="10" t="str">
        <x:f>XLOOKUP(F146,'产品维表'!$A$2:$A$5,'产品维表'!$D$2:$D$5,"未映射")</x:f>
        <x:v>H</x:v>
      </x:c>
      <x:c r="X146" s="10" t="str">
        <x:f>XLOOKUP(F146,'产品维表'!$A$2:$A$5,'产品维表'!$B$2:$B$5,"未映射")</x:f>
        <x:v>H1</x:v>
      </x:c>
      <x:c r="Y146" s="10" t="str">
        <x:f>XLOOKUP(G146,'渠道维表'!$A$2:$A$4,'渠道维表'!$B$2:$B$4,"未映射")</x:f>
        <x:v>区域经销</x:v>
      </x:c>
      <x:c r="Z146" s="10" t="str">
        <x:f>XLOOKUP(H146,'区域维表'!$A$2:$A$5,'区域维表'!$B$2:$B$5,"未映射")</x:f>
        <x:v>华南</x:v>
      </x:c>
      <x:c r="AA146" s="10" t="n">
        <x:f>XLOOKUP(B146,'日期维表'!$A$2:$A$43,'日期维表'!$F$2:$F$43,0)</x:f>
        <x:v>10</x:v>
      </x:c>
    </x:row>
    <x:row r="147" ht="15" hidden="0" customHeight="1">
      <x:c r="A147" s="10" t="str">
        <x:v>SO00146</x:v>
      </x:c>
      <x:c r="B147" s="10" t="n">
        <x:v>202406</x:v>
      </x:c>
      <x:c r="C147" s="10" t="n">
        <x:v>45455</x:v>
      </x:c>
      <x:c r="D147" s="10" t="n">
        <x:v>45466</x:v>
      </x:c>
      <x:c r="E147" s="10" t="n">
        <x:v>45466</x:v>
      </x:c>
      <x:c r="F147" s="10" t="n">
        <x:v>201</x:v>
      </x:c>
      <x:c r="G147" s="10" t="n">
        <x:v>1</x:v>
      </x:c>
      <x:c r="H147" s="10" t="n">
        <x:v>1</x:v>
      </x:c>
      <x:c r="I147" s="10" t="n">
        <x:v>39</x:v>
      </x:c>
      <x:c r="J147" s="10" t="n">
        <x:v>39</x:v>
      </x:c>
      <x:c r="K147" s="64" t="n">
        <x:v>4460.74</x:v>
      </x:c>
      <x:c r="L147" s="64" t="n">
        <x:v>173969</x:v>
      </x:c>
      <x:c r="M147" s="64" t="n">
        <x:v>0</x:v>
      </x:c>
      <x:c r="N147" s="64" t="n">
        <x:v>173969</x:v>
      </x:c>
      <x:c r="O147" s="64" t="n">
        <x:v>3235.05</x:v>
      </x:c>
      <x:c r="P147" s="64" t="n">
        <x:v>126166.78</x:v>
      </x:c>
      <x:c r="Q147" s="64" t="n">
        <x:v>47802.22</x:v>
      </x:c>
      <x:c r="R147" s="10" t="n">
        <x:v>11</x:v>
      </x:c>
      <x:c r="S147" s="10" t="n">
        <x:v>1</x:v>
      </x:c>
      <x:c r="T147" s="10" t="n">
        <x:v>1</x:v>
      </x:c>
      <x:c r="U147" s="10" t="str">
        <x:v>Completed</x:v>
      </x:c>
      <x:c r="V147" s="10" t="n">
        <x:v>0</x:v>
      </x:c>
      <x:c r="W147" s="10" t="str">
        <x:f>XLOOKUP(F147,'产品维表'!$A$2:$A$5,'产品维表'!$D$2:$D$5,"未映射")</x:f>
        <x:v>H</x:v>
      </x:c>
      <x:c r="X147" s="10" t="str">
        <x:f>XLOOKUP(F147,'产品维表'!$A$2:$A$5,'产品维表'!$B$2:$B$5,"未映射")</x:f>
        <x:v>H1</x:v>
      </x:c>
      <x:c r="Y147" s="10" t="str">
        <x:f>XLOOKUP(G147,'渠道维表'!$A$2:$A$4,'渠道维表'!$B$2:$B$4,"未映射")</x:f>
        <x:v>线上直营</x:v>
      </x:c>
      <x:c r="Z147" s="10" t="str">
        <x:f>XLOOKUP(H147,'区域维表'!$A$2:$A$5,'区域维表'!$B$2:$B$5,"未映射")</x:f>
        <x:v>华东</x:v>
      </x:c>
      <x:c r="AA147" s="10" t="n">
        <x:f>XLOOKUP(B147,'日期维表'!$A$2:$A$43,'日期维表'!$F$2:$F$43,0)</x:f>
        <x:v>10</x:v>
      </x:c>
    </x:row>
    <x:row r="148" ht="15" hidden="0" customHeight="1">
      <x:c r="A148" s="10" t="str">
        <x:v>SO00147</x:v>
      </x:c>
      <x:c r="B148" s="10" t="n">
        <x:v>202407</x:v>
      </x:c>
      <x:c r="C148" s="10" t="n">
        <x:v>45493</x:v>
      </x:c>
      <x:c r="D148" s="10" t="n">
        <x:v>45500</x:v>
      </x:c>
      <x:c r="E148" s="10" t="n">
        <x:v>45500</x:v>
      </x:c>
      <x:c r="F148" s="10" t="n">
        <x:v>101</x:v>
      </x:c>
      <x:c r="G148" s="10" t="n">
        <x:v>1</x:v>
      </x:c>
      <x:c r="H148" s="10" t="n">
        <x:v>1</x:v>
      </x:c>
      <x:c r="I148" s="10" t="n">
        <x:v>57</x:v>
      </x:c>
      <x:c r="J148" s="10" t="n">
        <x:v>57</x:v>
      </x:c>
      <x:c r="K148" s="64" t="n">
        <x:v>2875.12</x:v>
      </x:c>
      <x:c r="L148" s="64" t="n">
        <x:v>163882</x:v>
      </x:c>
      <x:c r="M148" s="64" t="n">
        <x:v>0</x:v>
      </x:c>
      <x:c r="N148" s="64" t="n">
        <x:v>163882</x:v>
      </x:c>
      <x:c r="O148" s="64" t="n">
        <x:v>1799.81</x:v>
      </x:c>
      <x:c r="P148" s="64" t="n">
        <x:v>102589.12</x:v>
      </x:c>
      <x:c r="Q148" s="64" t="n">
        <x:v>61292.88</x:v>
      </x:c>
      <x:c r="R148" s="10" t="n">
        <x:v>7</x:v>
      </x:c>
      <x:c r="S148" s="10" t="n">
        <x:v>1</x:v>
      </x:c>
      <x:c r="T148" s="10" t="n">
        <x:v>1</x:v>
      </x:c>
      <x:c r="U148" s="10" t="str">
        <x:v>Completed</x:v>
      </x:c>
      <x:c r="V148" s="10" t="n">
        <x:v>0</x:v>
      </x:c>
      <x:c r="W148" s="10" t="str">
        <x:f>XLOOKUP(F148,'产品维表'!$A$2:$A$5,'产品维表'!$D$2:$D$5,"未映射")</x:f>
        <x:v>L</x:v>
      </x:c>
      <x:c r="X148" s="10" t="str">
        <x:f>XLOOKUP(F148,'产品维表'!$A$2:$A$5,'产品维表'!$B$2:$B$5,"未映射")</x:f>
        <x:v>L1</x:v>
      </x:c>
      <x:c r="Y148" s="10" t="str">
        <x:f>XLOOKUP(G148,'渠道维表'!$A$2:$A$4,'渠道维表'!$B$2:$B$4,"未映射")</x:f>
        <x:v>线上直营</x:v>
      </x:c>
      <x:c r="Z148" s="10" t="str">
        <x:f>XLOOKUP(H148,'区域维表'!$A$2:$A$5,'区域维表'!$B$2:$B$5,"未映射")</x:f>
        <x:v>华东</x:v>
      </x:c>
      <x:c r="AA148" s="10" t="n">
        <x:f>XLOOKUP(B148,'日期维表'!$A$2:$A$43,'日期维表'!$F$2:$F$43,0)</x:f>
        <x:v>11</x:v>
      </x:c>
    </x:row>
    <x:row r="149" ht="15" hidden="0" customHeight="1">
      <x:c r="A149" s="10" t="str">
        <x:v>SO00148</x:v>
      </x:c>
      <x:c r="B149" s="10" t="n">
        <x:v>202407</x:v>
      </x:c>
      <x:c r="C149" s="10" t="n">
        <x:v>45487</x:v>
      </x:c>
      <x:c r="D149" s="10" t="n">
        <x:v>45499</x:v>
      </x:c>
      <x:c r="E149" s="10" t="n">
        <x:v>45499</x:v>
      </x:c>
      <x:c r="F149" s="10" t="n">
        <x:v>101</x:v>
      </x:c>
      <x:c r="G149" s="10" t="n">
        <x:v>2</x:v>
      </x:c>
      <x:c r="H149" s="10" t="n">
        <x:v>1</x:v>
      </x:c>
      <x:c r="I149" s="10" t="n">
        <x:v>31</x:v>
      </x:c>
      <x:c r="J149" s="10" t="n">
        <x:v>31</x:v>
      </x:c>
      <x:c r="K149" s="64" t="n">
        <x:v>2624.58</x:v>
      </x:c>
      <x:c r="L149" s="64" t="n">
        <x:v>83878.35</x:v>
      </x:c>
      <x:c r="M149" s="64" t="n">
        <x:v>2516.35</x:v>
      </x:c>
      <x:c r="N149" s="64" t="n">
        <x:v>81362</x:v>
      </x:c>
      <x:c r="O149" s="64" t="n">
        <x:v>1795.53</x:v>
      </x:c>
      <x:c r="P149" s="64" t="n">
        <x:v>55661.45</x:v>
      </x:c>
      <x:c r="Q149" s="64" t="n">
        <x:v>25700.55</x:v>
      </x:c>
      <x:c r="R149" s="10" t="n">
        <x:v>12</x:v>
      </x:c>
      <x:c r="S149" s="10" t="n">
        <x:v>1</x:v>
      </x:c>
      <x:c r="T149" s="10" t="n">
        <x:v>1</x:v>
      </x:c>
      <x:c r="U149" s="10" t="str">
        <x:v>Completed</x:v>
      </x:c>
      <x:c r="V149" s="10" t="n">
        <x:v>15</x:v>
      </x:c>
      <x:c r="W149" s="10" t="str">
        <x:f>XLOOKUP(F149,'产品维表'!$A$2:$A$5,'产品维表'!$D$2:$D$5,"未映射")</x:f>
        <x:v>L</x:v>
      </x:c>
      <x:c r="X149" s="10" t="str">
        <x:f>XLOOKUP(F149,'产品维表'!$A$2:$A$5,'产品维表'!$B$2:$B$5,"未映射")</x:f>
        <x:v>L1</x:v>
      </x:c>
      <x:c r="Y149" s="10" t="str">
        <x:f>XLOOKUP(G149,'渠道维表'!$A$2:$A$4,'渠道维表'!$B$2:$B$4,"未映射")</x:f>
        <x:v>线下零售</x:v>
      </x:c>
      <x:c r="Z149" s="10" t="str">
        <x:f>XLOOKUP(H149,'区域维表'!$A$2:$A$5,'区域维表'!$B$2:$B$5,"未映射")</x:f>
        <x:v>华东</x:v>
      </x:c>
      <x:c r="AA149" s="10" t="n">
        <x:f>XLOOKUP(B149,'日期维表'!$A$2:$A$43,'日期维表'!$F$2:$F$43,0)</x:f>
        <x:v>11</x:v>
      </x:c>
    </x:row>
    <x:row r="150" ht="15" hidden="0" customHeight="1">
      <x:c r="A150" s="10" t="str">
        <x:v>SO00149</x:v>
      </x:c>
      <x:c r="B150" s="10" t="n">
        <x:v>202407</x:v>
      </x:c>
      <x:c r="C150" s="10" t="n">
        <x:v>45486</x:v>
      </x:c>
      <x:c r="D150" s="10" t="n">
        <x:v>45496</x:v>
      </x:c>
      <x:c r="E150" s="10" t="n">
        <x:v>45496</x:v>
      </x:c>
      <x:c r="F150" s="10" t="n">
        <x:v>102</x:v>
      </x:c>
      <x:c r="G150" s="10" t="n">
        <x:v>3</x:v>
      </x:c>
      <x:c r="H150" s="10" t="n">
        <x:v>1</x:v>
      </x:c>
      <x:c r="I150" s="10" t="n">
        <x:v>49</x:v>
      </x:c>
      <x:c r="J150" s="10" t="n">
        <x:v>49</x:v>
      </x:c>
      <x:c r="K150" s="64" t="n">
        <x:v>2781.84</x:v>
      </x:c>
      <x:c r="L150" s="64" t="n">
        <x:v>149791.21</x:v>
      </x:c>
      <x:c r="M150" s="64" t="n">
        <x:v>13481.21</x:v>
      </x:c>
      <x:c r="N150" s="64" t="n">
        <x:v>136310</x:v>
      </x:c>
      <x:c r="O150" s="64" t="n">
        <x:v>2220.88</x:v>
      </x:c>
      <x:c r="P150" s="64" t="n">
        <x:v>108823.19</x:v>
      </x:c>
      <x:c r="Q150" s="64" t="n">
        <x:v>27486.81</x:v>
      </x:c>
      <x:c r="R150" s="10" t="n">
        <x:v>10</x:v>
      </x:c>
      <x:c r="S150" s="10" t="n">
        <x:v>1</x:v>
      </x:c>
      <x:c r="T150" s="10" t="n">
        <x:v>1</x:v>
      </x:c>
      <x:c r="U150" s="10" t="str">
        <x:v>Completed</x:v>
      </x:c>
      <x:c r="V150" s="10" t="n">
        <x:v>30</x:v>
      </x:c>
      <x:c r="W150" s="10" t="str">
        <x:f>XLOOKUP(F150,'产品维表'!$A$2:$A$5,'产品维表'!$D$2:$D$5,"未映射")</x:f>
        <x:v>L</x:v>
      </x:c>
      <x:c r="X150" s="10" t="str">
        <x:f>XLOOKUP(F150,'产品维表'!$A$2:$A$5,'产品维表'!$B$2:$B$5,"未映射")</x:f>
        <x:v>L2</x:v>
      </x:c>
      <x:c r="Y150" s="10" t="str">
        <x:f>XLOOKUP(G150,'渠道维表'!$A$2:$A$4,'渠道维表'!$B$2:$B$4,"未映射")</x:f>
        <x:v>区域经销</x:v>
      </x:c>
      <x:c r="Z150" s="10" t="str">
        <x:f>XLOOKUP(H150,'区域维表'!$A$2:$A$5,'区域维表'!$B$2:$B$5,"未映射")</x:f>
        <x:v>华东</x:v>
      </x:c>
      <x:c r="AA150" s="10" t="n">
        <x:f>XLOOKUP(B150,'日期维表'!$A$2:$A$43,'日期维表'!$F$2:$F$43,0)</x:f>
        <x:v>11</x:v>
      </x:c>
    </x:row>
    <x:row r="151" ht="15" hidden="0" customHeight="1">
      <x:c r="A151" s="10" t="str">
        <x:v>SO00150</x:v>
      </x:c>
      <x:c r="B151" s="10" t="n">
        <x:v>202407</x:v>
      </x:c>
      <x:c r="C151" s="10" t="n">
        <x:v>45495</x:v>
      </x:c>
      <x:c r="D151" s="10" t="n">
        <x:v>45506</x:v>
      </x:c>
      <x:c r="E151" s="10" t="n">
        <x:v>45506</x:v>
      </x:c>
      <x:c r="F151" s="10" t="n">
        <x:v>101</x:v>
      </x:c>
      <x:c r="G151" s="10" t="n">
        <x:v>1</x:v>
      </x:c>
      <x:c r="H151" s="10" t="n">
        <x:v>4</x:v>
      </x:c>
      <x:c r="I151" s="10" t="n">
        <x:v>56</x:v>
      </x:c>
      <x:c r="J151" s="10" t="n">
        <x:v>56</x:v>
      </x:c>
      <x:c r="K151" s="64" t="n">
        <x:v>2803.61</x:v>
      </x:c>
      <x:c r="L151" s="64" t="n">
        <x:v>157002</x:v>
      </x:c>
      <x:c r="M151" s="64" t="n">
        <x:v>0</x:v>
      </x:c>
      <x:c r="N151" s="64" t="n">
        <x:v>157002</x:v>
      </x:c>
      <x:c r="O151" s="64" t="n">
        <x:v>1855.43</x:v>
      </x:c>
      <x:c r="P151" s="64" t="n">
        <x:v>103904.33</x:v>
      </x:c>
      <x:c r="Q151" s="64" t="n">
        <x:v>53097.67</x:v>
      </x:c>
      <x:c r="R151" s="10" t="n">
        <x:v>11</x:v>
      </x:c>
      <x:c r="S151" s="10" t="n">
        <x:v>1</x:v>
      </x:c>
      <x:c r="T151" s="10" t="n">
        <x:v>1</x:v>
      </x:c>
      <x:c r="U151" s="10" t="str">
        <x:v>Completed</x:v>
      </x:c>
      <x:c r="V151" s="10" t="n">
        <x:v>0</x:v>
      </x:c>
      <x:c r="W151" s="10" t="str">
        <x:f>XLOOKUP(F151,'产品维表'!$A$2:$A$5,'产品维表'!$D$2:$D$5,"未映射")</x:f>
        <x:v>L</x:v>
      </x:c>
      <x:c r="X151" s="10" t="str">
        <x:f>XLOOKUP(F151,'产品维表'!$A$2:$A$5,'产品维表'!$B$2:$B$5,"未映射")</x:f>
        <x:v>L1</x:v>
      </x:c>
      <x:c r="Y151" s="10" t="str">
        <x:f>XLOOKUP(G151,'渠道维表'!$A$2:$A$4,'渠道维表'!$B$2:$B$4,"未映射")</x:f>
        <x:v>线上直营</x:v>
      </x:c>
      <x:c r="Z151" s="10" t="str">
        <x:f>XLOOKUP(H151,'区域维表'!$A$2:$A$5,'区域维表'!$B$2:$B$5,"未映射")</x:f>
        <x:v>中西部</x:v>
      </x:c>
      <x:c r="AA151" s="10" t="n">
        <x:f>XLOOKUP(B151,'日期维表'!$A$2:$A$43,'日期维表'!$F$2:$F$43,0)</x:f>
        <x:v>11</x:v>
      </x:c>
    </x:row>
    <x:row r="152" ht="15" hidden="0" customHeight="1">
      <x:c r="A152" s="10" t="str">
        <x:v>SO00151</x:v>
      </x:c>
      <x:c r="B152" s="10" t="n">
        <x:v>202407</x:v>
      </x:c>
      <x:c r="C152" s="10" t="n">
        <x:v>45495</x:v>
      </x:c>
      <x:c r="D152" s="10" t="n">
        <x:v>45504</x:v>
      </x:c>
      <x:c r="E152" s="10" t="n">
        <x:v>45504</x:v>
      </x:c>
      <x:c r="F152" s="10" t="n">
        <x:v>102</x:v>
      </x:c>
      <x:c r="G152" s="10" t="n">
        <x:v>3</x:v>
      </x:c>
      <x:c r="H152" s="10" t="n">
        <x:v>1</x:v>
      </x:c>
      <x:c r="I152" s="10" t="n">
        <x:v>52</x:v>
      </x:c>
      <x:c r="J152" s="10" t="n">
        <x:v>52</x:v>
      </x:c>
      <x:c r="K152" s="64" t="n">
        <x:v>2681.33</x:v>
      </x:c>
      <x:c r="L152" s="64" t="n">
        <x:v>153218.68</x:v>
      </x:c>
      <x:c r="M152" s="64" t="n">
        <x:v>13789.68</x:v>
      </x:c>
      <x:c r="N152" s="64" t="n">
        <x:v>139429</x:v>
      </x:c>
      <x:c r="O152" s="64" t="n">
        <x:v>2285.39</x:v>
      </x:c>
      <x:c r="P152" s="64" t="n">
        <x:v>118840.02</x:v>
      </x:c>
      <x:c r="Q152" s="64" t="n">
        <x:v>20588.98</x:v>
      </x:c>
      <x:c r="R152" s="10" t="n">
        <x:v>9</x:v>
      </x:c>
      <x:c r="S152" s="10" t="n">
        <x:v>1</x:v>
      </x:c>
      <x:c r="T152" s="10" t="n">
        <x:v>1</x:v>
      </x:c>
      <x:c r="U152" s="10" t="str">
        <x:v>Completed</x:v>
      </x:c>
      <x:c r="V152" s="10" t="n">
        <x:v>30</x:v>
      </x:c>
      <x:c r="W152" s="10" t="str">
        <x:f>XLOOKUP(F152,'产品维表'!$A$2:$A$5,'产品维表'!$D$2:$D$5,"未映射")</x:f>
        <x:v>L</x:v>
      </x:c>
      <x:c r="X152" s="10" t="str">
        <x:f>XLOOKUP(F152,'产品维表'!$A$2:$A$5,'产品维表'!$B$2:$B$5,"未映射")</x:f>
        <x:v>L2</x:v>
      </x:c>
      <x:c r="Y152" s="10" t="str">
        <x:f>XLOOKUP(G152,'渠道维表'!$A$2:$A$4,'渠道维表'!$B$2:$B$4,"未映射")</x:f>
        <x:v>区域经销</x:v>
      </x:c>
      <x:c r="Z152" s="10" t="str">
        <x:f>XLOOKUP(H152,'区域维表'!$A$2:$A$5,'区域维表'!$B$2:$B$5,"未映射")</x:f>
        <x:v>华东</x:v>
      </x:c>
      <x:c r="AA152" s="10" t="n">
        <x:f>XLOOKUP(B152,'日期维表'!$A$2:$A$43,'日期维表'!$F$2:$F$43,0)</x:f>
        <x:v>11</x:v>
      </x:c>
    </x:row>
    <x:row r="153" ht="15" hidden="0" customHeight="1">
      <x:c r="A153" s="10" t="str">
        <x:v>SO00152</x:v>
      </x:c>
      <x:c r="B153" s="10" t="n">
        <x:v>202407</x:v>
      </x:c>
      <x:c r="C153" s="10" t="n">
        <x:v>45494</x:v>
      </x:c>
      <x:c r="D153" s="10" t="n">
        <x:v>45501</x:v>
      </x:c>
      <x:c r="E153" s="10" t="n">
        <x:v>45501</x:v>
      </x:c>
      <x:c r="F153" s="10" t="n">
        <x:v>101</x:v>
      </x:c>
      <x:c r="G153" s="10" t="n">
        <x:v>2</x:v>
      </x:c>
      <x:c r="H153" s="10" t="n">
        <x:v>4</x:v>
      </x:c>
      <x:c r="I153" s="10" t="n">
        <x:v>52</x:v>
      </x:c>
      <x:c r="J153" s="10" t="n">
        <x:v>52</x:v>
      </x:c>
      <x:c r="K153" s="64" t="n">
        <x:v>2830.04</x:v>
      </x:c>
      <x:c r="L153" s="64" t="n">
        <x:v>151713.4</x:v>
      </x:c>
      <x:c r="M153" s="64" t="n">
        <x:v>4551.4</x:v>
      </x:c>
      <x:c r="N153" s="64" t="n">
        <x:v>147162</x:v>
      </x:c>
      <x:c r="O153" s="64" t="n">
        <x:v>1827.45</x:v>
      </x:c>
      <x:c r="P153" s="64" t="n">
        <x:v>95027.55</x:v>
      </x:c>
      <x:c r="Q153" s="64" t="n">
        <x:v>52134.45</x:v>
      </x:c>
      <x:c r="R153" s="10" t="n">
        <x:v>7</x:v>
      </x:c>
      <x:c r="S153" s="10" t="n">
        <x:v>1</x:v>
      </x:c>
      <x:c r="T153" s="10" t="n">
        <x:v>1</x:v>
      </x:c>
      <x:c r="U153" s="10" t="str">
        <x:v>Completed</x:v>
      </x:c>
      <x:c r="V153" s="10" t="n">
        <x:v>15</x:v>
      </x:c>
      <x:c r="W153" s="10" t="str">
        <x:f>XLOOKUP(F153,'产品维表'!$A$2:$A$5,'产品维表'!$D$2:$D$5,"未映射")</x:f>
        <x:v>L</x:v>
      </x:c>
      <x:c r="X153" s="10" t="str">
        <x:f>XLOOKUP(F153,'产品维表'!$A$2:$A$5,'产品维表'!$B$2:$B$5,"未映射")</x:f>
        <x:v>L1</x:v>
      </x:c>
      <x:c r="Y153" s="10" t="str">
        <x:f>XLOOKUP(G153,'渠道维表'!$A$2:$A$4,'渠道维表'!$B$2:$B$4,"未映射")</x:f>
        <x:v>线下零售</x:v>
      </x:c>
      <x:c r="Z153" s="10" t="str">
        <x:f>XLOOKUP(H153,'区域维表'!$A$2:$A$5,'区域维表'!$B$2:$B$5,"未映射")</x:f>
        <x:v>中西部</x:v>
      </x:c>
      <x:c r="AA153" s="10" t="n">
        <x:f>XLOOKUP(B153,'日期维表'!$A$2:$A$43,'日期维表'!$F$2:$F$43,0)</x:f>
        <x:v>11</x:v>
      </x:c>
    </x:row>
    <x:row r="154" ht="15" hidden="0" customHeight="1">
      <x:c r="A154" s="10" t="str">
        <x:v>SO00153</x:v>
      </x:c>
      <x:c r="B154" s="10" t="n">
        <x:v>202407</x:v>
      </x:c>
      <x:c r="C154" s="10" t="n">
        <x:v>45476</x:v>
      </x:c>
      <x:c r="D154" s="10" t="n">
        <x:v>45487</x:v>
      </x:c>
      <x:c r="E154" s="10" t="n">
        <x:v>45487</x:v>
      </x:c>
      <x:c r="F154" s="10" t="n">
        <x:v>102</x:v>
      </x:c>
      <x:c r="G154" s="10" t="n">
        <x:v>3</x:v>
      </x:c>
      <x:c r="H154" s="10" t="n">
        <x:v>2</x:v>
      </x:c>
      <x:c r="I154" s="10" t="n">
        <x:v>44</x:v>
      </x:c>
      <x:c r="J154" s="10" t="n">
        <x:v>44</x:v>
      </x:c>
      <x:c r="K154" s="64" t="n">
        <x:v>2648.41</x:v>
      </x:c>
      <x:c r="L154" s="64" t="n">
        <x:v>128054.95</x:v>
      </x:c>
      <x:c r="M154" s="64" t="n">
        <x:v>11524.95</x:v>
      </x:c>
      <x:c r="N154" s="64" t="n">
        <x:v>116530</x:v>
      </x:c>
      <x:c r="O154" s="64" t="n">
        <x:v>1850.63</x:v>
      </x:c>
      <x:c r="P154" s="64" t="n">
        <x:v>81427.84</x:v>
      </x:c>
      <x:c r="Q154" s="64" t="n">
        <x:v>35102.16</x:v>
      </x:c>
      <x:c r="R154" s="10" t="n">
        <x:v>11</x:v>
      </x:c>
      <x:c r="S154" s="10" t="n">
        <x:v>1</x:v>
      </x:c>
      <x:c r="T154" s="10" t="n">
        <x:v>1</x:v>
      </x:c>
      <x:c r="U154" s="10" t="str">
        <x:v>Completed</x:v>
      </x:c>
      <x:c r="V154" s="10" t="n">
        <x:v>30</x:v>
      </x:c>
      <x:c r="W154" s="10" t="str">
        <x:f>XLOOKUP(F154,'产品维表'!$A$2:$A$5,'产品维表'!$D$2:$D$5,"未映射")</x:f>
        <x:v>L</x:v>
      </x:c>
      <x:c r="X154" s="10" t="str">
        <x:f>XLOOKUP(F154,'产品维表'!$A$2:$A$5,'产品维表'!$B$2:$B$5,"未映射")</x:f>
        <x:v>L2</x:v>
      </x:c>
      <x:c r="Y154" s="10" t="str">
        <x:f>XLOOKUP(G154,'渠道维表'!$A$2:$A$4,'渠道维表'!$B$2:$B$4,"未映射")</x:f>
        <x:v>区域经销</x:v>
      </x:c>
      <x:c r="Z154" s="10" t="str">
        <x:f>XLOOKUP(H154,'区域维表'!$A$2:$A$5,'区域维表'!$B$2:$B$5,"未映射")</x:f>
        <x:v>华南</x:v>
      </x:c>
      <x:c r="AA154" s="10" t="n">
        <x:f>XLOOKUP(B154,'日期维表'!$A$2:$A$43,'日期维表'!$F$2:$F$43,0)</x:f>
        <x:v>11</x:v>
      </x:c>
    </x:row>
    <x:row r="155" ht="15" hidden="0" customHeight="1">
      <x:c r="A155" s="10" t="str">
        <x:v>SO00154</x:v>
      </x:c>
      <x:c r="B155" s="10" t="n">
        <x:v>202407</x:v>
      </x:c>
      <x:c r="C155" s="10" t="n">
        <x:v>45485</x:v>
      </x:c>
      <x:c r="D155" s="10" t="n">
        <x:v>45493</x:v>
      </x:c>
      <x:c r="E155" s="10" t="n">
        <x:v>45493</x:v>
      </x:c>
      <x:c r="F155" s="10" t="n">
        <x:v>101</x:v>
      </x:c>
      <x:c r="G155" s="10" t="n">
        <x:v>3</x:v>
      </x:c>
      <x:c r="H155" s="10" t="n">
        <x:v>1</x:v>
      </x:c>
      <x:c r="I155" s="10" t="n">
        <x:v>24</x:v>
      </x:c>
      <x:c r="J155" s="10" t="n">
        <x:v>24</x:v>
      </x:c>
      <x:c r="K155" s="64" t="n">
        <x:v>2650.83</x:v>
      </x:c>
      <x:c r="L155" s="64" t="n">
        <x:v>69912.09</x:v>
      </x:c>
      <x:c r="M155" s="64" t="n">
        <x:v>6292.09</x:v>
      </x:c>
      <x:c r="N155" s="64" t="n">
        <x:v>63620</x:v>
      </x:c>
      <x:c r="O155" s="64" t="n">
        <x:v>1814.77</x:v>
      </x:c>
      <x:c r="P155" s="64" t="n">
        <x:v>43554.58</x:v>
      </x:c>
      <x:c r="Q155" s="64" t="n">
        <x:v>20065.42</x:v>
      </x:c>
      <x:c r="R155" s="10" t="n">
        <x:v>8</x:v>
      </x:c>
      <x:c r="S155" s="10" t="n">
        <x:v>1</x:v>
      </x:c>
      <x:c r="T155" s="10" t="n">
        <x:v>1</x:v>
      </x:c>
      <x:c r="U155" s="10" t="str">
        <x:v>Completed</x:v>
      </x:c>
      <x:c r="V155" s="10" t="n">
        <x:v>30</x:v>
      </x:c>
      <x:c r="W155" s="10" t="str">
        <x:f>XLOOKUP(F155,'产品维表'!$A$2:$A$5,'产品维表'!$D$2:$D$5,"未映射")</x:f>
        <x:v>L</x:v>
      </x:c>
      <x:c r="X155" s="10" t="str">
        <x:f>XLOOKUP(F155,'产品维表'!$A$2:$A$5,'产品维表'!$B$2:$B$5,"未映射")</x:f>
        <x:v>L1</x:v>
      </x:c>
      <x:c r="Y155" s="10" t="str">
        <x:f>XLOOKUP(G155,'渠道维表'!$A$2:$A$4,'渠道维表'!$B$2:$B$4,"未映射")</x:f>
        <x:v>区域经销</x:v>
      </x:c>
      <x:c r="Z155" s="10" t="str">
        <x:f>XLOOKUP(H155,'区域维表'!$A$2:$A$5,'区域维表'!$B$2:$B$5,"未映射")</x:f>
        <x:v>华东</x:v>
      </x:c>
      <x:c r="AA155" s="10" t="n">
        <x:f>XLOOKUP(B155,'日期维表'!$A$2:$A$43,'日期维表'!$F$2:$F$43,0)</x:f>
        <x:v>11</x:v>
      </x:c>
    </x:row>
    <x:row r="156" ht="15" hidden="0" customHeight="1">
      <x:c r="A156" s="10" t="str">
        <x:v>SO00155</x:v>
      </x:c>
      <x:c r="B156" s="10" t="n">
        <x:v>202407</x:v>
      </x:c>
      <x:c r="C156" s="10" t="n">
        <x:v>45478</x:v>
      </x:c>
      <x:c r="D156" s="10" t="n">
        <x:v>45485</x:v>
      </x:c>
      <x:c r="E156" s="10" t="n">
        <x:v>45485</x:v>
      </x:c>
      <x:c r="F156" s="10" t="n">
        <x:v>102</x:v>
      </x:c>
      <x:c r="G156" s="10" t="n">
        <x:v>3</x:v>
      </x:c>
      <x:c r="H156" s="10" t="n">
        <x:v>1</x:v>
      </x:c>
      <x:c r="I156" s="10" t="n">
        <x:v>42</x:v>
      </x:c>
      <x:c r="J156" s="10" t="n">
        <x:v>42</x:v>
      </x:c>
      <x:c r="K156" s="64" t="n">
        <x:v>2860.31</x:v>
      </x:c>
      <x:c r="L156" s="64" t="n">
        <x:v>132014.29</x:v>
      </x:c>
      <x:c r="M156" s="64" t="n">
        <x:v>11881.29</x:v>
      </x:c>
      <x:c r="N156" s="64" t="n">
        <x:v>120133</x:v>
      </x:c>
      <x:c r="O156" s="64" t="n">
        <x:v>2220.42</x:v>
      </x:c>
      <x:c r="P156" s="64" t="n">
        <x:v>93257.71</x:v>
      </x:c>
      <x:c r="Q156" s="64" t="n">
        <x:v>26875.29</x:v>
      </x:c>
      <x:c r="R156" s="10" t="n">
        <x:v>7</x:v>
      </x:c>
      <x:c r="S156" s="10" t="n">
        <x:v>1</x:v>
      </x:c>
      <x:c r="T156" s="10" t="n">
        <x:v>1</x:v>
      </x:c>
      <x:c r="U156" s="10" t="str">
        <x:v>Completed</x:v>
      </x:c>
      <x:c r="V156" s="10" t="n">
        <x:v>30</x:v>
      </x:c>
      <x:c r="W156" s="10" t="str">
        <x:f>XLOOKUP(F156,'产品维表'!$A$2:$A$5,'产品维表'!$D$2:$D$5,"未映射")</x:f>
        <x:v>L</x:v>
      </x:c>
      <x:c r="X156" s="10" t="str">
        <x:f>XLOOKUP(F156,'产品维表'!$A$2:$A$5,'产品维表'!$B$2:$B$5,"未映射")</x:f>
        <x:v>L2</x:v>
      </x:c>
      <x:c r="Y156" s="10" t="str">
        <x:f>XLOOKUP(G156,'渠道维表'!$A$2:$A$4,'渠道维表'!$B$2:$B$4,"未映射")</x:f>
        <x:v>区域经销</x:v>
      </x:c>
      <x:c r="Z156" s="10" t="str">
        <x:f>XLOOKUP(H156,'区域维表'!$A$2:$A$5,'区域维表'!$B$2:$B$5,"未映射")</x:f>
        <x:v>华东</x:v>
      </x:c>
      <x:c r="AA156" s="10" t="n">
        <x:f>XLOOKUP(B156,'日期维表'!$A$2:$A$43,'日期维表'!$F$2:$F$43,0)</x:f>
        <x:v>11</x:v>
      </x:c>
    </x:row>
    <x:row r="157" ht="15" hidden="0" customHeight="1">
      <x:c r="A157" s="10" t="str">
        <x:v>SO00156</x:v>
      </x:c>
      <x:c r="B157" s="10" t="n">
        <x:v>202407</x:v>
      </x:c>
      <x:c r="C157" s="10" t="n">
        <x:v>45483</x:v>
      </x:c>
      <x:c r="D157" s="10" t="n">
        <x:v>45494</x:v>
      </x:c>
      <x:c r="E157" s="10" t="n">
        <x:v>45494</x:v>
      </x:c>
      <x:c r="F157" s="10" t="n">
        <x:v>101</x:v>
      </x:c>
      <x:c r="G157" s="10" t="n">
        <x:v>1</x:v>
      </x:c>
      <x:c r="H157" s="10" t="n">
        <x:v>2</x:v>
      </x:c>
      <x:c r="I157" s="10" t="n">
        <x:v>29</x:v>
      </x:c>
      <x:c r="J157" s="10" t="n">
        <x:v>29</x:v>
      </x:c>
      <x:c r="K157" s="64" t="n">
        <x:v>2532.24</x:v>
      </x:c>
      <x:c r="L157" s="64" t="n">
        <x:v>73435</x:v>
      </x:c>
      <x:c r="M157" s="64" t="n">
        <x:v>0</x:v>
      </x:c>
      <x:c r="N157" s="64" t="n">
        <x:v>73435</x:v>
      </x:c>
      <x:c r="O157" s="64" t="n">
        <x:v>1800.88</x:v>
      </x:c>
      <x:c r="P157" s="64" t="n">
        <x:v>52225.57</x:v>
      </x:c>
      <x:c r="Q157" s="64" t="n">
        <x:v>21209.43</x:v>
      </x:c>
      <x:c r="R157" s="10" t="n">
        <x:v>11</x:v>
      </x:c>
      <x:c r="S157" s="10" t="n">
        <x:v>1</x:v>
      </x:c>
      <x:c r="T157" s="10" t="n">
        <x:v>1</x:v>
      </x:c>
      <x:c r="U157" s="10" t="str">
        <x:v>Completed</x:v>
      </x:c>
      <x:c r="V157" s="10" t="n">
        <x:v>0</x:v>
      </x:c>
      <x:c r="W157" s="10" t="str">
        <x:f>XLOOKUP(F157,'产品维表'!$A$2:$A$5,'产品维表'!$D$2:$D$5,"未映射")</x:f>
        <x:v>L</x:v>
      </x:c>
      <x:c r="X157" s="10" t="str">
        <x:f>XLOOKUP(F157,'产品维表'!$A$2:$A$5,'产品维表'!$B$2:$B$5,"未映射")</x:f>
        <x:v>L1</x:v>
      </x:c>
      <x:c r="Y157" s="10" t="str">
        <x:f>XLOOKUP(G157,'渠道维表'!$A$2:$A$4,'渠道维表'!$B$2:$B$4,"未映射")</x:f>
        <x:v>线上直营</x:v>
      </x:c>
      <x:c r="Z157" s="10" t="str">
        <x:f>XLOOKUP(H157,'区域维表'!$A$2:$A$5,'区域维表'!$B$2:$B$5,"未映射")</x:f>
        <x:v>华南</x:v>
      </x:c>
      <x:c r="AA157" s="10" t="n">
        <x:f>XLOOKUP(B157,'日期维表'!$A$2:$A$43,'日期维表'!$F$2:$F$43,0)</x:f>
        <x:v>11</x:v>
      </x:c>
    </x:row>
    <x:row r="158" ht="15" hidden="0" customHeight="1">
      <x:c r="A158" s="10" t="str">
        <x:v>SO00157</x:v>
      </x:c>
      <x:c r="B158" s="10" t="n">
        <x:v>202407</x:v>
      </x:c>
      <x:c r="C158" s="10" t="n">
        <x:v>45494</x:v>
      </x:c>
      <x:c r="D158" s="10" t="n">
        <x:v>45503</x:v>
      </x:c>
      <x:c r="E158" s="10" t="n">
        <x:v>45503</x:v>
      </x:c>
      <x:c r="F158" s="10" t="n">
        <x:v>102</x:v>
      </x:c>
      <x:c r="G158" s="10" t="n">
        <x:v>3</x:v>
      </x:c>
      <x:c r="H158" s="10" t="n">
        <x:v>3</x:v>
      </x:c>
      <x:c r="I158" s="10" t="n">
        <x:v>24</x:v>
      </x:c>
      <x:c r="J158" s="10" t="n">
        <x:v>24</x:v>
      </x:c>
      <x:c r="K158" s="64" t="n">
        <x:v>2828.33</x:v>
      </x:c>
      <x:c r="L158" s="64" t="n">
        <x:v>74593.41</x:v>
      </x:c>
      <x:c r="M158" s="64" t="n">
        <x:v>6713.41</x:v>
      </x:c>
      <x:c r="N158" s="64" t="n">
        <x:v>67880</x:v>
      </x:c>
      <x:c r="O158" s="64" t="n">
        <x:v>2225.42</x:v>
      </x:c>
      <x:c r="P158" s="64" t="n">
        <x:v>53410.1</x:v>
      </x:c>
      <x:c r="Q158" s="64" t="n">
        <x:v>14469.9</x:v>
      </x:c>
      <x:c r="R158" s="10" t="n">
        <x:v>9</x:v>
      </x:c>
      <x:c r="S158" s="10" t="n">
        <x:v>1</x:v>
      </x:c>
      <x:c r="T158" s="10" t="n">
        <x:v>1</x:v>
      </x:c>
      <x:c r="U158" s="10" t="str">
        <x:v>Completed</x:v>
      </x:c>
      <x:c r="V158" s="10" t="n">
        <x:v>30</x:v>
      </x:c>
      <x:c r="W158" s="10" t="str">
        <x:f>XLOOKUP(F158,'产品维表'!$A$2:$A$5,'产品维表'!$D$2:$D$5,"未映射")</x:f>
        <x:v>L</x:v>
      </x:c>
      <x:c r="X158" s="10" t="str">
        <x:f>XLOOKUP(F158,'产品维表'!$A$2:$A$5,'产品维表'!$B$2:$B$5,"未映射")</x:f>
        <x:v>L2</x:v>
      </x:c>
      <x:c r="Y158" s="10" t="str">
        <x:f>XLOOKUP(G158,'渠道维表'!$A$2:$A$4,'渠道维表'!$B$2:$B$4,"未映射")</x:f>
        <x:v>区域经销</x:v>
      </x:c>
      <x:c r="Z158" s="10" t="str">
        <x:f>XLOOKUP(H158,'区域维表'!$A$2:$A$5,'区域维表'!$B$2:$B$5,"未映射")</x:f>
        <x:v>华北</x:v>
      </x:c>
      <x:c r="AA158" s="10" t="n">
        <x:f>XLOOKUP(B158,'日期维表'!$A$2:$A$43,'日期维表'!$F$2:$F$43,0)</x:f>
        <x:v>11</x:v>
      </x:c>
    </x:row>
    <x:row r="159" ht="15" hidden="0" customHeight="1">
      <x:c r="A159" s="10" t="str">
        <x:v>SO00158</x:v>
      </x:c>
      <x:c r="B159" s="10" t="n">
        <x:v>202408</x:v>
      </x:c>
      <x:c r="C159" s="10" t="n">
        <x:v>45517</x:v>
      </x:c>
      <x:c r="D159" s="10" t="n">
        <x:v>45525</x:v>
      </x:c>
      <x:c r="E159" s="10" t="n">
        <x:v>45530</x:v>
      </x:c>
      <x:c r="F159" s="10" t="n">
        <x:v>102</x:v>
      </x:c>
      <x:c r="G159" s="10" t="n">
        <x:v>2</x:v>
      </x:c>
      <x:c r="H159" s="10" t="n">
        <x:v>4</x:v>
      </x:c>
      <x:c r="I159" s="10" t="n">
        <x:v>50</x:v>
      </x:c>
      <x:c r="J159" s="10" t="n">
        <x:v>50</x:v>
      </x:c>
      <x:c r="K159" s="64" t="n">
        <x:v>2931.16</x:v>
      </x:c>
      <x:c r="L159" s="64" t="n">
        <x:v>151090.72</x:v>
      </x:c>
      <x:c r="M159" s="64" t="n">
        <x:v>4532.72</x:v>
      </x:c>
      <x:c r="N159" s="64" t="n">
        <x:v>146558</x:v>
      </x:c>
      <x:c r="O159" s="64" t="n">
        <x:v>2268.15</x:v>
      </x:c>
      <x:c r="P159" s="64" t="n">
        <x:v>113407.37</x:v>
      </x:c>
      <x:c r="Q159" s="64" t="n">
        <x:v>33150.63</x:v>
      </x:c>
      <x:c r="R159" s="10" t="n">
        <x:v>13</x:v>
      </x:c>
      <x:c r="S159" s="10" t="n">
        <x:v>0</x:v>
      </x:c>
      <x:c r="T159" s="10" t="n">
        <x:v>1</x:v>
      </x:c>
      <x:c r="U159" s="10" t="str">
        <x:v>Completed</x:v>
      </x:c>
      <x:c r="V159" s="10" t="n">
        <x:v>15</x:v>
      </x:c>
      <x:c r="W159" s="10" t="str">
        <x:f>XLOOKUP(F159,'产品维表'!$A$2:$A$5,'产品维表'!$D$2:$D$5,"未映射")</x:f>
        <x:v>L</x:v>
      </x:c>
      <x:c r="X159" s="10" t="str">
        <x:f>XLOOKUP(F159,'产品维表'!$A$2:$A$5,'产品维表'!$B$2:$B$5,"未映射")</x:f>
        <x:v>L2</x:v>
      </x:c>
      <x:c r="Y159" s="10" t="str">
        <x:f>XLOOKUP(G159,'渠道维表'!$A$2:$A$4,'渠道维表'!$B$2:$B$4,"未映射")</x:f>
        <x:v>线下零售</x:v>
      </x:c>
      <x:c r="Z159" s="10" t="str">
        <x:f>XLOOKUP(H159,'区域维表'!$A$2:$A$5,'区域维表'!$B$2:$B$5,"未映射")</x:f>
        <x:v>中西部</x:v>
      </x:c>
      <x:c r="AA159" s="10" t="n">
        <x:f>XLOOKUP(B159,'日期维表'!$A$2:$A$43,'日期维表'!$F$2:$F$43,0)</x:f>
        <x:v>11</x:v>
      </x:c>
    </x:row>
    <x:row r="160" ht="15" hidden="0" customHeight="1">
      <x:c r="A160" s="10" t="str">
        <x:v>SO00159</x:v>
      </x:c>
      <x:c r="B160" s="10" t="n">
        <x:v>202408</x:v>
      </x:c>
      <x:c r="C160" s="10" t="n">
        <x:v>45511</x:v>
      </x:c>
      <x:c r="D160" s="10" t="n">
        <x:v>45520</x:v>
      </x:c>
      <x:c r="E160" s="10" t="n">
        <x:v>45520</x:v>
      </x:c>
      <x:c r="F160" s="10" t="n">
        <x:v>101</x:v>
      </x:c>
      <x:c r="G160" s="10" t="n">
        <x:v>2</x:v>
      </x:c>
      <x:c r="H160" s="10" t="n">
        <x:v>1</x:v>
      </x:c>
      <x:c r="I160" s="10" t="n">
        <x:v>26</x:v>
      </x:c>
      <x:c r="J160" s="10" t="n">
        <x:v>26</x:v>
      </x:c>
      <x:c r="K160" s="64" t="n">
        <x:v>2592.19</x:v>
      </x:c>
      <x:c r="L160" s="64" t="n">
        <x:v>69481.44</x:v>
      </x:c>
      <x:c r="M160" s="64" t="n">
        <x:v>2084.44</x:v>
      </x:c>
      <x:c r="N160" s="64" t="n">
        <x:v>67397</x:v>
      </x:c>
      <x:c r="O160" s="64" t="n">
        <x:v>1848.64</x:v>
      </x:c>
      <x:c r="P160" s="64" t="n">
        <x:v>48064.7</x:v>
      </x:c>
      <x:c r="Q160" s="64" t="n">
        <x:v>19332.3</x:v>
      </x:c>
      <x:c r="R160" s="10" t="n">
        <x:v>9</x:v>
      </x:c>
      <x:c r="S160" s="10" t="n">
        <x:v>1</x:v>
      </x:c>
      <x:c r="T160" s="10" t="n">
        <x:v>1</x:v>
      </x:c>
      <x:c r="U160" s="10" t="str">
        <x:v>Completed</x:v>
      </x:c>
      <x:c r="V160" s="10" t="n">
        <x:v>15</x:v>
      </x:c>
      <x:c r="W160" s="10" t="str">
        <x:f>XLOOKUP(F160,'产品维表'!$A$2:$A$5,'产品维表'!$D$2:$D$5,"未映射")</x:f>
        <x:v>L</x:v>
      </x:c>
      <x:c r="X160" s="10" t="str">
        <x:f>XLOOKUP(F160,'产品维表'!$A$2:$A$5,'产品维表'!$B$2:$B$5,"未映射")</x:f>
        <x:v>L1</x:v>
      </x:c>
      <x:c r="Y160" s="10" t="str">
        <x:f>XLOOKUP(G160,'渠道维表'!$A$2:$A$4,'渠道维表'!$B$2:$B$4,"未映射")</x:f>
        <x:v>线下零售</x:v>
      </x:c>
      <x:c r="Z160" s="10" t="str">
        <x:f>XLOOKUP(H160,'区域维表'!$A$2:$A$5,'区域维表'!$B$2:$B$5,"未映射")</x:f>
        <x:v>华东</x:v>
      </x:c>
      <x:c r="AA160" s="10" t="n">
        <x:f>XLOOKUP(B160,'日期维表'!$A$2:$A$43,'日期维表'!$F$2:$F$43,0)</x:f>
        <x:v>11</x:v>
      </x:c>
    </x:row>
    <x:row r="161" ht="15" hidden="0" customHeight="1">
      <x:c r="A161" s="10" t="str">
        <x:v>SO00160</x:v>
      </x:c>
      <x:c r="B161" s="10" t="n">
        <x:v>202408</x:v>
      </x:c>
      <x:c r="C161" s="10" t="n">
        <x:v>45525</x:v>
      </x:c>
      <x:c r="D161" s="10" t="n">
        <x:v>45533</x:v>
      </x:c>
      <x:c r="E161" s="10" t="n">
        <x:v>45533</x:v>
      </x:c>
      <x:c r="F161" s="10" t="n">
        <x:v>101</x:v>
      </x:c>
      <x:c r="G161" s="10" t="n">
        <x:v>1</x:v>
      </x:c>
      <x:c r="H161" s="10" t="n">
        <x:v>1</x:v>
      </x:c>
      <x:c r="I161" s="10" t="n">
        <x:v>41</x:v>
      </x:c>
      <x:c r="J161" s="10" t="n">
        <x:v>41</x:v>
      </x:c>
      <x:c r="K161" s="64" t="n">
        <x:v>2661.37</x:v>
      </x:c>
      <x:c r="L161" s="64" t="n">
        <x:v>109116</x:v>
      </x:c>
      <x:c r="M161" s="64" t="n">
        <x:v>0</x:v>
      </x:c>
      <x:c r="N161" s="64" t="n">
        <x:v>109116</x:v>
      </x:c>
      <x:c r="O161" s="64" t="n">
        <x:v>1820.65</x:v>
      </x:c>
      <x:c r="P161" s="64" t="n">
        <x:v>74646.74</x:v>
      </x:c>
      <x:c r="Q161" s="64" t="n">
        <x:v>34469.26</x:v>
      </x:c>
      <x:c r="R161" s="10" t="n">
        <x:v>8</x:v>
      </x:c>
      <x:c r="S161" s="10" t="n">
        <x:v>1</x:v>
      </x:c>
      <x:c r="T161" s="10" t="n">
        <x:v>1</x:v>
      </x:c>
      <x:c r="U161" s="10" t="str">
        <x:v>Completed</x:v>
      </x:c>
      <x:c r="V161" s="10" t="n">
        <x:v>0</x:v>
      </x:c>
      <x:c r="W161" s="10" t="str">
        <x:f>XLOOKUP(F161,'产品维表'!$A$2:$A$5,'产品维表'!$D$2:$D$5,"未映射")</x:f>
        <x:v>L</x:v>
      </x:c>
      <x:c r="X161" s="10" t="str">
        <x:f>XLOOKUP(F161,'产品维表'!$A$2:$A$5,'产品维表'!$B$2:$B$5,"未映射")</x:f>
        <x:v>L1</x:v>
      </x:c>
      <x:c r="Y161" s="10" t="str">
        <x:f>XLOOKUP(G161,'渠道维表'!$A$2:$A$4,'渠道维表'!$B$2:$B$4,"未映射")</x:f>
        <x:v>线上直营</x:v>
      </x:c>
      <x:c r="Z161" s="10" t="str">
        <x:f>XLOOKUP(H161,'区域维表'!$A$2:$A$5,'区域维表'!$B$2:$B$5,"未映射")</x:f>
        <x:v>华东</x:v>
      </x:c>
      <x:c r="AA161" s="10" t="n">
        <x:f>XLOOKUP(B161,'日期维表'!$A$2:$A$43,'日期维表'!$F$2:$F$43,0)</x:f>
        <x:v>11</x:v>
      </x:c>
    </x:row>
    <x:row r="162" ht="15" hidden="0" customHeight="1">
      <x:c r="A162" s="10" t="str">
        <x:v>SO00161</x:v>
      </x:c>
      <x:c r="B162" s="10" t="n">
        <x:v>202408</x:v>
      </x:c>
      <x:c r="C162" s="10" t="n">
        <x:v>45518</x:v>
      </x:c>
      <x:c r="D162" s="10" t="n">
        <x:v>45530</x:v>
      </x:c>
      <x:c r="E162" s="10" t="n">
        <x:v>45530</x:v>
      </x:c>
      <x:c r="F162" s="10" t="n">
        <x:v>101</x:v>
      </x:c>
      <x:c r="G162" s="10" t="n">
        <x:v>1</x:v>
      </x:c>
      <x:c r="H162" s="10" t="n">
        <x:v>1</x:v>
      </x:c>
      <x:c r="I162" s="10" t="n">
        <x:v>25</x:v>
      </x:c>
      <x:c r="J162" s="10" t="n">
        <x:v>25</x:v>
      </x:c>
      <x:c r="K162" s="64" t="n">
        <x:v>2707.52</x:v>
      </x:c>
      <x:c r="L162" s="64" t="n">
        <x:v>67688</x:v>
      </x:c>
      <x:c r="M162" s="64" t="n">
        <x:v>0</x:v>
      </x:c>
      <x:c r="N162" s="64" t="n">
        <x:v>67688</x:v>
      </x:c>
      <x:c r="O162" s="64" t="n">
        <x:v>1845.13</x:v>
      </x:c>
      <x:c r="P162" s="64" t="n">
        <x:v>46128.33</x:v>
      </x:c>
      <x:c r="Q162" s="64" t="n">
        <x:v>21559.67</x:v>
      </x:c>
      <x:c r="R162" s="10" t="n">
        <x:v>12</x:v>
      </x:c>
      <x:c r="S162" s="10" t="n">
        <x:v>1</x:v>
      </x:c>
      <x:c r="T162" s="10" t="n">
        <x:v>1</x:v>
      </x:c>
      <x:c r="U162" s="10" t="str">
        <x:v>Completed</x:v>
      </x:c>
      <x:c r="V162" s="10" t="n">
        <x:v>0</x:v>
      </x:c>
      <x:c r="W162" s="10" t="str">
        <x:f>XLOOKUP(F162,'产品维表'!$A$2:$A$5,'产品维表'!$D$2:$D$5,"未映射")</x:f>
        <x:v>L</x:v>
      </x:c>
      <x:c r="X162" s="10" t="str">
        <x:f>XLOOKUP(F162,'产品维表'!$A$2:$A$5,'产品维表'!$B$2:$B$5,"未映射")</x:f>
        <x:v>L1</x:v>
      </x:c>
      <x:c r="Y162" s="10" t="str">
        <x:f>XLOOKUP(G162,'渠道维表'!$A$2:$A$4,'渠道维表'!$B$2:$B$4,"未映射")</x:f>
        <x:v>线上直营</x:v>
      </x:c>
      <x:c r="Z162" s="10" t="str">
        <x:f>XLOOKUP(H162,'区域维表'!$A$2:$A$5,'区域维表'!$B$2:$B$5,"未映射")</x:f>
        <x:v>华东</x:v>
      </x:c>
      <x:c r="AA162" s="10" t="n">
        <x:f>XLOOKUP(B162,'日期维表'!$A$2:$A$43,'日期维表'!$F$2:$F$43,0)</x:f>
        <x:v>11</x:v>
      </x:c>
    </x:row>
    <x:row r="163" ht="15" hidden="0" customHeight="1">
      <x:c r="A163" s="10" t="str">
        <x:v>SO00162</x:v>
      </x:c>
      <x:c r="B163" s="10" t="n">
        <x:v>202408</x:v>
      </x:c>
      <x:c r="C163" s="10" t="n">
        <x:v>45522</x:v>
      </x:c>
      <x:c r="D163" s="10" t="n">
        <x:v>45532</x:v>
      </x:c>
      <x:c r="E163" s="10" t="n">
        <x:v>45532</x:v>
      </x:c>
      <x:c r="F163" s="10" t="n">
        <x:v>102</x:v>
      </x:c>
      <x:c r="G163" s="10" t="n">
        <x:v>3</x:v>
      </x:c>
      <x:c r="H163" s="10" t="n">
        <x:v>1</x:v>
      </x:c>
      <x:c r="I163" s="10" t="n">
        <x:v>49</x:v>
      </x:c>
      <x:c r="J163" s="10" t="n">
        <x:v>49</x:v>
      </x:c>
      <x:c r="K163" s="64" t="n">
        <x:v>2591.65</x:v>
      </x:c>
      <x:c r="L163" s="64" t="n">
        <x:v>139550.55</x:v>
      </x:c>
      <x:c r="M163" s="64" t="n">
        <x:v>12559.55</x:v>
      </x:c>
      <x:c r="N163" s="64" t="n">
        <x:v>126991</x:v>
      </x:c>
      <x:c r="O163" s="64" t="n">
        <x:v>1877.4</x:v>
      </x:c>
      <x:c r="P163" s="64" t="n">
        <x:v>91992.82</x:v>
      </x:c>
      <x:c r="Q163" s="64" t="n">
        <x:v>34998.18</x:v>
      </x:c>
      <x:c r="R163" s="10" t="n">
        <x:v>10</x:v>
      </x:c>
      <x:c r="S163" s="10" t="n">
        <x:v>1</x:v>
      </x:c>
      <x:c r="T163" s="10" t="n">
        <x:v>1</x:v>
      </x:c>
      <x:c r="U163" s="10" t="str">
        <x:v>Completed</x:v>
      </x:c>
      <x:c r="V163" s="10" t="n">
        <x:v>30</x:v>
      </x:c>
      <x:c r="W163" s="10" t="str">
        <x:f>XLOOKUP(F163,'产品维表'!$A$2:$A$5,'产品维表'!$D$2:$D$5,"未映射")</x:f>
        <x:v>L</x:v>
      </x:c>
      <x:c r="X163" s="10" t="str">
        <x:f>XLOOKUP(F163,'产品维表'!$A$2:$A$5,'产品维表'!$B$2:$B$5,"未映射")</x:f>
        <x:v>L2</x:v>
      </x:c>
      <x:c r="Y163" s="10" t="str">
        <x:f>XLOOKUP(G163,'渠道维表'!$A$2:$A$4,'渠道维表'!$B$2:$B$4,"未映射")</x:f>
        <x:v>区域经销</x:v>
      </x:c>
      <x:c r="Z163" s="10" t="str">
        <x:f>XLOOKUP(H163,'区域维表'!$A$2:$A$5,'区域维表'!$B$2:$B$5,"未映射")</x:f>
        <x:v>华东</x:v>
      </x:c>
      <x:c r="AA163" s="10" t="n">
        <x:f>XLOOKUP(B163,'日期维表'!$A$2:$A$43,'日期维表'!$F$2:$F$43,0)</x:f>
        <x:v>11</x:v>
      </x:c>
    </x:row>
    <x:row r="164" ht="15" hidden="0" customHeight="1">
      <x:c r="A164" s="10" t="str">
        <x:v>SO00163</x:v>
      </x:c>
      <x:c r="B164" s="10" t="n">
        <x:v>202408</x:v>
      </x:c>
      <x:c r="C164" s="10" t="n">
        <x:v>45509</x:v>
      </x:c>
      <x:c r="D164" s="10" t="n">
        <x:v>45518</x:v>
      </x:c>
      <x:c r="E164" s="10" t="n">
        <x:v>45518</x:v>
      </x:c>
      <x:c r="F164" s="10" t="n">
        <x:v>101</x:v>
      </x:c>
      <x:c r="G164" s="10" t="n">
        <x:v>1</x:v>
      </x:c>
      <x:c r="H164" s="10" t="n">
        <x:v>4</x:v>
      </x:c>
      <x:c r="I164" s="10" t="n">
        <x:v>22</x:v>
      </x:c>
      <x:c r="J164" s="10" t="n">
        <x:v>22</x:v>
      </x:c>
      <x:c r="K164" s="64" t="n">
        <x:v>2738.86</x:v>
      </x:c>
      <x:c r="L164" s="64" t="n">
        <x:v>60255</x:v>
      </x:c>
      <x:c r="M164" s="64" t="n">
        <x:v>0</x:v>
      </x:c>
      <x:c r="N164" s="64" t="n">
        <x:v>60255</x:v>
      </x:c>
      <x:c r="O164" s="64" t="n">
        <x:v>1867.22</x:v>
      </x:c>
      <x:c r="P164" s="64" t="n">
        <x:v>41078.84</x:v>
      </x:c>
      <x:c r="Q164" s="64" t="n">
        <x:v>19176.16</x:v>
      </x:c>
      <x:c r="R164" s="10" t="n">
        <x:v>9</x:v>
      </x:c>
      <x:c r="S164" s="10" t="n">
        <x:v>1</x:v>
      </x:c>
      <x:c r="T164" s="10" t="n">
        <x:v>1</x:v>
      </x:c>
      <x:c r="U164" s="10" t="str">
        <x:v>Completed</x:v>
      </x:c>
      <x:c r="V164" s="10" t="n">
        <x:v>0</x:v>
      </x:c>
      <x:c r="W164" s="10" t="str">
        <x:f>XLOOKUP(F164,'产品维表'!$A$2:$A$5,'产品维表'!$D$2:$D$5,"未映射")</x:f>
        <x:v>L</x:v>
      </x:c>
      <x:c r="X164" s="10" t="str">
        <x:f>XLOOKUP(F164,'产品维表'!$A$2:$A$5,'产品维表'!$B$2:$B$5,"未映射")</x:f>
        <x:v>L1</x:v>
      </x:c>
      <x:c r="Y164" s="10" t="str">
        <x:f>XLOOKUP(G164,'渠道维表'!$A$2:$A$4,'渠道维表'!$B$2:$B$4,"未映射")</x:f>
        <x:v>线上直营</x:v>
      </x:c>
      <x:c r="Z164" s="10" t="str">
        <x:f>XLOOKUP(H164,'区域维表'!$A$2:$A$5,'区域维表'!$B$2:$B$5,"未映射")</x:f>
        <x:v>中西部</x:v>
      </x:c>
      <x:c r="AA164" s="10" t="n">
        <x:f>XLOOKUP(B164,'日期维表'!$A$2:$A$43,'日期维表'!$F$2:$F$43,0)</x:f>
        <x:v>11</x:v>
      </x:c>
    </x:row>
    <x:row r="165" ht="15" hidden="0" customHeight="1">
      <x:c r="A165" s="10" t="str">
        <x:v>SO00164</x:v>
      </x:c>
      <x:c r="B165" s="10" t="n">
        <x:v>202408</x:v>
      </x:c>
      <x:c r="C165" s="10" t="n">
        <x:v>45518</x:v>
      </x:c>
      <x:c r="D165" s="10" t="n">
        <x:v>45527</x:v>
      </x:c>
      <x:c r="E165" s="10" t="n">
        <x:v>45531</x:v>
      </x:c>
      <x:c r="F165" s="10" t="n">
        <x:v>101</x:v>
      </x:c>
      <x:c r="G165" s="10" t="n">
        <x:v>3</x:v>
      </x:c>
      <x:c r="H165" s="10" t="n">
        <x:v>2</x:v>
      </x:c>
      <x:c r="I165" s="10" t="n">
        <x:v>52</x:v>
      </x:c>
      <x:c r="J165" s="10" t="n">
        <x:v>52</x:v>
      </x:c>
      <x:c r="K165" s="64" t="n">
        <x:v>2850.65</x:v>
      </x:c>
      <x:c r="L165" s="64" t="n">
        <x:v>162894.51</x:v>
      </x:c>
      <x:c r="M165" s="64" t="n">
        <x:v>14660.51</x:v>
      </x:c>
      <x:c r="N165" s="64" t="n">
        <x:v>148234</x:v>
      </x:c>
      <x:c r="O165" s="64" t="n">
        <x:v>1837.62</x:v>
      </x:c>
      <x:c r="P165" s="64" t="n">
        <x:v>95556.17</x:v>
      </x:c>
      <x:c r="Q165" s="64" t="n">
        <x:v>52677.83</x:v>
      </x:c>
      <x:c r="R165" s="10" t="n">
        <x:v>13</x:v>
      </x:c>
      <x:c r="S165" s="10" t="n">
        <x:v>0</x:v>
      </x:c>
      <x:c r="T165" s="10" t="n">
        <x:v>1</x:v>
      </x:c>
      <x:c r="U165" s="10" t="str">
        <x:v>Completed</x:v>
      </x:c>
      <x:c r="V165" s="10" t="n">
        <x:v>30</x:v>
      </x:c>
      <x:c r="W165" s="10" t="str">
        <x:f>XLOOKUP(F165,'产品维表'!$A$2:$A$5,'产品维表'!$D$2:$D$5,"未映射")</x:f>
        <x:v>L</x:v>
      </x:c>
      <x:c r="X165" s="10" t="str">
        <x:f>XLOOKUP(F165,'产品维表'!$A$2:$A$5,'产品维表'!$B$2:$B$5,"未映射")</x:f>
        <x:v>L1</x:v>
      </x:c>
      <x:c r="Y165" s="10" t="str">
        <x:f>XLOOKUP(G165,'渠道维表'!$A$2:$A$4,'渠道维表'!$B$2:$B$4,"未映射")</x:f>
        <x:v>区域经销</x:v>
      </x:c>
      <x:c r="Z165" s="10" t="str">
        <x:f>XLOOKUP(H165,'区域维表'!$A$2:$A$5,'区域维表'!$B$2:$B$5,"未映射")</x:f>
        <x:v>华南</x:v>
      </x:c>
      <x:c r="AA165" s="10" t="n">
        <x:f>XLOOKUP(B165,'日期维表'!$A$2:$A$43,'日期维表'!$F$2:$F$43,0)</x:f>
        <x:v>11</x:v>
      </x:c>
    </x:row>
    <x:row r="166" ht="15" hidden="0" customHeight="1">
      <x:c r="A166" s="10" t="str">
        <x:v>SO00165</x:v>
      </x:c>
      <x:c r="B166" s="10" t="n">
        <x:v>202408</x:v>
      </x:c>
      <x:c r="C166" s="10" t="n">
        <x:v>45508</x:v>
      </x:c>
      <x:c r="D166" s="10" t="n">
        <x:v>45516</x:v>
      </x:c>
      <x:c r="E166" s="10" t="n">
        <x:v>45516</x:v>
      </x:c>
      <x:c r="F166" s="10" t="n">
        <x:v>102</x:v>
      </x:c>
      <x:c r="G166" s="10" t="n">
        <x:v>3</x:v>
      </x:c>
      <x:c r="H166" s="10" t="n">
        <x:v>4</x:v>
      </x:c>
      <x:c r="I166" s="10" t="n">
        <x:v>49</x:v>
      </x:c>
      <x:c r="J166" s="10" t="n">
        <x:v>49</x:v>
      </x:c>
      <x:c r="K166" s="64" t="n">
        <x:v>2674.63</x:v>
      </x:c>
      <x:c r="L166" s="64" t="n">
        <x:v>144018.68</x:v>
      </x:c>
      <x:c r="M166" s="64" t="n">
        <x:v>12961.68</x:v>
      </x:c>
      <x:c r="N166" s="64" t="n">
        <x:v>131057</x:v>
      </x:c>
      <x:c r="O166" s="64" t="n">
        <x:v>2209.29</x:v>
      </x:c>
      <x:c r="P166" s="64" t="n">
        <x:v>108255.03</x:v>
      </x:c>
      <x:c r="Q166" s="64" t="n">
        <x:v>22801.97</x:v>
      </x:c>
      <x:c r="R166" s="10" t="n">
        <x:v>8</x:v>
      </x:c>
      <x:c r="S166" s="10" t="n">
        <x:v>1</x:v>
      </x:c>
      <x:c r="T166" s="10" t="n">
        <x:v>1</x:v>
      </x:c>
      <x:c r="U166" s="10" t="str">
        <x:v>Completed</x:v>
      </x:c>
      <x:c r="V166" s="10" t="n">
        <x:v>30</x:v>
      </x:c>
      <x:c r="W166" s="10" t="str">
        <x:f>XLOOKUP(F166,'产品维表'!$A$2:$A$5,'产品维表'!$D$2:$D$5,"未映射")</x:f>
        <x:v>L</x:v>
      </x:c>
      <x:c r="X166" s="10" t="str">
        <x:f>XLOOKUP(F166,'产品维表'!$A$2:$A$5,'产品维表'!$B$2:$B$5,"未映射")</x:f>
        <x:v>L2</x:v>
      </x:c>
      <x:c r="Y166" s="10" t="str">
        <x:f>XLOOKUP(G166,'渠道维表'!$A$2:$A$4,'渠道维表'!$B$2:$B$4,"未映射")</x:f>
        <x:v>区域经销</x:v>
      </x:c>
      <x:c r="Z166" s="10" t="str">
        <x:f>XLOOKUP(H166,'区域维表'!$A$2:$A$5,'区域维表'!$B$2:$B$5,"未映射")</x:f>
        <x:v>中西部</x:v>
      </x:c>
      <x:c r="AA166" s="10" t="n">
        <x:f>XLOOKUP(B166,'日期维表'!$A$2:$A$43,'日期维表'!$F$2:$F$43,0)</x:f>
        <x:v>11</x:v>
      </x:c>
    </x:row>
    <x:row r="167" ht="15" hidden="0" customHeight="1">
      <x:c r="A167" s="10" t="str">
        <x:v>SO00166</x:v>
      </x:c>
      <x:c r="B167" s="10" t="n">
        <x:v>202408</x:v>
      </x:c>
      <x:c r="C167" s="10" t="n">
        <x:v>45521</x:v>
      </x:c>
      <x:c r="D167" s="10" t="n">
        <x:v>45530</x:v>
      </x:c>
      <x:c r="E167" s="10" t="n">
        <x:v>45530</x:v>
      </x:c>
      <x:c r="F167" s="10" t="n">
        <x:v>101</x:v>
      </x:c>
      <x:c r="G167" s="10" t="n">
        <x:v>1</x:v>
      </x:c>
      <x:c r="H167" s="10" t="n">
        <x:v>2</x:v>
      </x:c>
      <x:c r="I167" s="10" t="n">
        <x:v>62</x:v>
      </x:c>
      <x:c r="J167" s="10" t="n">
        <x:v>62</x:v>
      </x:c>
      <x:c r="K167" s="64" t="n">
        <x:v>2922.9</x:v>
      </x:c>
      <x:c r="L167" s="64" t="n">
        <x:v>181220</x:v>
      </x:c>
      <x:c r="M167" s="64" t="n">
        <x:v>0</x:v>
      </x:c>
      <x:c r="N167" s="64" t="n">
        <x:v>181220</x:v>
      </x:c>
      <x:c r="O167" s="64" t="n">
        <x:v>1814.27</x:v>
      </x:c>
      <x:c r="P167" s="64" t="n">
        <x:v>112485.04</x:v>
      </x:c>
      <x:c r="Q167" s="64" t="n">
        <x:v>68734.96</x:v>
      </x:c>
      <x:c r="R167" s="10" t="n">
        <x:v>9</x:v>
      </x:c>
      <x:c r="S167" s="10" t="n">
        <x:v>1</x:v>
      </x:c>
      <x:c r="T167" s="10" t="n">
        <x:v>1</x:v>
      </x:c>
      <x:c r="U167" s="10" t="str">
        <x:v>Completed</x:v>
      </x:c>
      <x:c r="V167" s="10" t="n">
        <x:v>0</x:v>
      </x:c>
      <x:c r="W167" s="10" t="str">
        <x:f>XLOOKUP(F167,'产品维表'!$A$2:$A$5,'产品维表'!$D$2:$D$5,"未映射")</x:f>
        <x:v>L</x:v>
      </x:c>
      <x:c r="X167" s="10" t="str">
        <x:f>XLOOKUP(F167,'产品维表'!$A$2:$A$5,'产品维表'!$B$2:$B$5,"未映射")</x:f>
        <x:v>L1</x:v>
      </x:c>
      <x:c r="Y167" s="10" t="str">
        <x:f>XLOOKUP(G167,'渠道维表'!$A$2:$A$4,'渠道维表'!$B$2:$B$4,"未映射")</x:f>
        <x:v>线上直营</x:v>
      </x:c>
      <x:c r="Z167" s="10" t="str">
        <x:f>XLOOKUP(H167,'区域维表'!$A$2:$A$5,'区域维表'!$B$2:$B$5,"未映射")</x:f>
        <x:v>华南</x:v>
      </x:c>
      <x:c r="AA167" s="10" t="n">
        <x:f>XLOOKUP(B167,'日期维表'!$A$2:$A$43,'日期维表'!$F$2:$F$43,0)</x:f>
        <x:v>11</x:v>
      </x:c>
    </x:row>
    <x:row r="168" ht="15" hidden="0" customHeight="1">
      <x:c r="A168" s="10" t="str">
        <x:v>SO00167</x:v>
      </x:c>
      <x:c r="B168" s="10" t="n">
        <x:v>202408</x:v>
      </x:c>
      <x:c r="C168" s="10" t="n">
        <x:v>45507</x:v>
      </x:c>
      <x:c r="D168" s="10" t="n">
        <x:v>45518</x:v>
      </x:c>
      <x:c r="E168" s="10" t="n">
        <x:v>45518</x:v>
      </x:c>
      <x:c r="F168" s="10" t="n">
        <x:v>102</x:v>
      </x:c>
      <x:c r="G168" s="10" t="n">
        <x:v>3</x:v>
      </x:c>
      <x:c r="H168" s="10" t="n">
        <x:v>3</x:v>
      </x:c>
      <x:c r="I168" s="10" t="n">
        <x:v>22</x:v>
      </x:c>
      <x:c r="J168" s="10" t="n">
        <x:v>22</x:v>
      </x:c>
      <x:c r="K168" s="64" t="n">
        <x:v>2587.55</x:v>
      </x:c>
      <x:c r="L168" s="64" t="n">
        <x:v>62556.04</x:v>
      </x:c>
      <x:c r="M168" s="64" t="n">
        <x:v>5630.04</x:v>
      </x:c>
      <x:c r="N168" s="64" t="n">
        <x:v>56926</x:v>
      </x:c>
      <x:c r="O168" s="64" t="n">
        <x:v>1922.15</x:v>
      </x:c>
      <x:c r="P168" s="64" t="n">
        <x:v>42287.24</x:v>
      </x:c>
      <x:c r="Q168" s="64" t="n">
        <x:v>14638.76</x:v>
      </x:c>
      <x:c r="R168" s="10" t="n">
        <x:v>11</x:v>
      </x:c>
      <x:c r="S168" s="10" t="n">
        <x:v>1</x:v>
      </x:c>
      <x:c r="T168" s="10" t="n">
        <x:v>1</x:v>
      </x:c>
      <x:c r="U168" s="10" t="str">
        <x:v>Completed</x:v>
      </x:c>
      <x:c r="V168" s="10" t="n">
        <x:v>30</x:v>
      </x:c>
      <x:c r="W168" s="10" t="str">
        <x:f>XLOOKUP(F168,'产品维表'!$A$2:$A$5,'产品维表'!$D$2:$D$5,"未映射")</x:f>
        <x:v>L</x:v>
      </x:c>
      <x:c r="X168" s="10" t="str">
        <x:f>XLOOKUP(F168,'产品维表'!$A$2:$A$5,'产品维表'!$B$2:$B$5,"未映射")</x:f>
        <x:v>L2</x:v>
      </x:c>
      <x:c r="Y168" s="10" t="str">
        <x:f>XLOOKUP(G168,'渠道维表'!$A$2:$A$4,'渠道维表'!$B$2:$B$4,"未映射")</x:f>
        <x:v>区域经销</x:v>
      </x:c>
      <x:c r="Z168" s="10" t="str">
        <x:f>XLOOKUP(H168,'区域维表'!$A$2:$A$5,'区域维表'!$B$2:$B$5,"未映射")</x:f>
        <x:v>华北</x:v>
      </x:c>
      <x:c r="AA168" s="10" t="n">
        <x:f>XLOOKUP(B168,'日期维表'!$A$2:$A$43,'日期维表'!$F$2:$F$43,0)</x:f>
        <x:v>11</x:v>
      </x:c>
    </x:row>
    <x:row r="169" ht="15" hidden="0" customHeight="1">
      <x:c r="A169" s="10" t="str">
        <x:v>SO00168</x:v>
      </x:c>
      <x:c r="B169" s="10" t="n">
        <x:v>202408</x:v>
      </x:c>
      <x:c r="C169" s="10" t="n">
        <x:v>45526</x:v>
      </x:c>
      <x:c r="D169" s="10" t="n">
        <x:v>45536</x:v>
      </x:c>
      <x:c r="E169" s="10" t="n">
        <x:v>45536</x:v>
      </x:c>
      <x:c r="F169" s="10" t="n">
        <x:v>102</x:v>
      </x:c>
      <x:c r="G169" s="10" t="n">
        <x:v>3</x:v>
      </x:c>
      <x:c r="H169" s="10" t="n">
        <x:v>1</x:v>
      </x:c>
      <x:c r="I169" s="10" t="n">
        <x:v>65</x:v>
      </x:c>
      <x:c r="J169" s="10" t="n">
        <x:v>65</x:v>
      </x:c>
      <x:c r="K169" s="64" t="n">
        <x:v>2721.54</x:v>
      </x:c>
      <x:c r="L169" s="64" t="n">
        <x:v>194395.6</x:v>
      </x:c>
      <x:c r="M169" s="64" t="n">
        <x:v>17495.6</x:v>
      </x:c>
      <x:c r="N169" s="64" t="n">
        <x:v>176900</x:v>
      </x:c>
      <x:c r="O169" s="64" t="n">
        <x:v>2205.53</x:v>
      </x:c>
      <x:c r="P169" s="64" t="n">
        <x:v>143359.37</x:v>
      </x:c>
      <x:c r="Q169" s="64" t="n">
        <x:v>33540.63</x:v>
      </x:c>
      <x:c r="R169" s="10" t="n">
        <x:v>10</x:v>
      </x:c>
      <x:c r="S169" s="10" t="n">
        <x:v>1</x:v>
      </x:c>
      <x:c r="T169" s="10" t="n">
        <x:v>1</x:v>
      </x:c>
      <x:c r="U169" s="10" t="str">
        <x:v>Completed</x:v>
      </x:c>
      <x:c r="V169" s="10" t="n">
        <x:v>30</x:v>
      </x:c>
      <x:c r="W169" s="10" t="str">
        <x:f>XLOOKUP(F169,'产品维表'!$A$2:$A$5,'产品维表'!$D$2:$D$5,"未映射")</x:f>
        <x:v>L</x:v>
      </x:c>
      <x:c r="X169" s="10" t="str">
        <x:f>XLOOKUP(F169,'产品维表'!$A$2:$A$5,'产品维表'!$B$2:$B$5,"未映射")</x:f>
        <x:v>L2</x:v>
      </x:c>
      <x:c r="Y169" s="10" t="str">
        <x:f>XLOOKUP(G169,'渠道维表'!$A$2:$A$4,'渠道维表'!$B$2:$B$4,"未映射")</x:f>
        <x:v>区域经销</x:v>
      </x:c>
      <x:c r="Z169" s="10" t="str">
        <x:f>XLOOKUP(H169,'区域维表'!$A$2:$A$5,'区域维表'!$B$2:$B$5,"未映射")</x:f>
        <x:v>华东</x:v>
      </x:c>
      <x:c r="AA169" s="10" t="n">
        <x:f>XLOOKUP(B169,'日期维表'!$A$2:$A$43,'日期维表'!$F$2:$F$43,0)</x:f>
        <x:v>11</x:v>
      </x:c>
    </x:row>
    <x:row r="170" ht="15" hidden="0" customHeight="1">
      <x:c r="A170" s="10" t="str">
        <x:v>SO00169</x:v>
      </x:c>
      <x:c r="B170" s="10" t="n">
        <x:v>202408</x:v>
      </x:c>
      <x:c r="C170" s="10" t="n">
        <x:v>45527</x:v>
      </x:c>
      <x:c r="D170" s="10" t="n">
        <x:v>45537</x:v>
      </x:c>
      <x:c r="E170" s="10" t="n">
        <x:v>45537</x:v>
      </x:c>
      <x:c r="F170" s="10" t="n">
        <x:v>101</x:v>
      </x:c>
      <x:c r="G170" s="10" t="n">
        <x:v>2</x:v>
      </x:c>
      <x:c r="H170" s="10" t="n">
        <x:v>2</x:v>
      </x:c>
      <x:c r="I170" s="10" t="n">
        <x:v>36</x:v>
      </x:c>
      <x:c r="J170" s="10" t="n">
        <x:v>36</x:v>
      </x:c>
      <x:c r="K170" s="64" t="n">
        <x:v>2771.78</x:v>
      </x:c>
      <x:c r="L170" s="64" t="n">
        <x:v>102870.1</x:v>
      </x:c>
      <x:c r="M170" s="64" t="n">
        <x:v>3086.1</x:v>
      </x:c>
      <x:c r="N170" s="64" t="n">
        <x:v>99784</x:v>
      </x:c>
      <x:c r="O170" s="64" t="n">
        <x:v>1834.19</x:v>
      </x:c>
      <x:c r="P170" s="64" t="n">
        <x:v>66030.72</x:v>
      </x:c>
      <x:c r="Q170" s="64" t="n">
        <x:v>33753.28</x:v>
      </x:c>
      <x:c r="R170" s="10" t="n">
        <x:v>10</x:v>
      </x:c>
      <x:c r="S170" s="10" t="n">
        <x:v>1</x:v>
      </x:c>
      <x:c r="T170" s="10" t="n">
        <x:v>1</x:v>
      </x:c>
      <x:c r="U170" s="10" t="str">
        <x:v>Completed</x:v>
      </x:c>
      <x:c r="V170" s="10" t="n">
        <x:v>15</x:v>
      </x:c>
      <x:c r="W170" s="10" t="str">
        <x:f>XLOOKUP(F170,'产品维表'!$A$2:$A$5,'产品维表'!$D$2:$D$5,"未映射")</x:f>
        <x:v>L</x:v>
      </x:c>
      <x:c r="X170" s="10" t="str">
        <x:f>XLOOKUP(F170,'产品维表'!$A$2:$A$5,'产品维表'!$B$2:$B$5,"未映射")</x:f>
        <x:v>L1</x:v>
      </x:c>
      <x:c r="Y170" s="10" t="str">
        <x:f>XLOOKUP(G170,'渠道维表'!$A$2:$A$4,'渠道维表'!$B$2:$B$4,"未映射")</x:f>
        <x:v>线下零售</x:v>
      </x:c>
      <x:c r="Z170" s="10" t="str">
        <x:f>XLOOKUP(H170,'区域维表'!$A$2:$A$5,'区域维表'!$B$2:$B$5,"未映射")</x:f>
        <x:v>华南</x:v>
      </x:c>
      <x:c r="AA170" s="10" t="n">
        <x:f>XLOOKUP(B170,'日期维表'!$A$2:$A$43,'日期维表'!$F$2:$F$43,0)</x:f>
        <x:v>11</x:v>
      </x:c>
    </x:row>
    <x:row r="171" ht="15" hidden="0" customHeight="1">
      <x:c r="A171" s="10" t="str">
        <x:v>SO00170</x:v>
      </x:c>
      <x:c r="B171" s="10" t="n">
        <x:v>202409</x:v>
      </x:c>
      <x:c r="C171" s="10" t="n">
        <x:v>45539</x:v>
      </x:c>
      <x:c r="D171" s="10" t="n">
        <x:v>45551</x:v>
      </x:c>
      <x:c r="E171" s="10" t="n">
        <x:v>45551</x:v>
      </x:c>
      <x:c r="F171" s="10" t="n">
        <x:v>102</x:v>
      </x:c>
      <x:c r="G171" s="10" t="n">
        <x:v>3</x:v>
      </x:c>
      <x:c r="H171" s="10" t="n">
        <x:v>1</x:v>
      </x:c>
      <x:c r="I171" s="10" t="n">
        <x:v>50</x:v>
      </x:c>
      <x:c r="J171" s="10" t="n">
        <x:v>50</x:v>
      </x:c>
      <x:c r="K171" s="64" t="n">
        <x:v>2579.9</x:v>
      </x:c>
      <x:c r="L171" s="64" t="n">
        <x:v>141752.75</x:v>
      </x:c>
      <x:c r="M171" s="64" t="n">
        <x:v>12757.75</x:v>
      </x:c>
      <x:c r="N171" s="64" t="n">
        <x:v>128995</x:v>
      </x:c>
      <x:c r="O171" s="64" t="n">
        <x:v>1808.05</x:v>
      </x:c>
      <x:c r="P171" s="64" t="n">
        <x:v>90402.35</x:v>
      </x:c>
      <x:c r="Q171" s="64" t="n">
        <x:v>38592.65</x:v>
      </x:c>
      <x:c r="R171" s="10" t="n">
        <x:v>12</x:v>
      </x:c>
      <x:c r="S171" s="10" t="n">
        <x:v>1</x:v>
      </x:c>
      <x:c r="T171" s="10" t="n">
        <x:v>1</x:v>
      </x:c>
      <x:c r="U171" s="10" t="str">
        <x:v>Completed</x:v>
      </x:c>
      <x:c r="V171" s="10" t="n">
        <x:v>30</x:v>
      </x:c>
      <x:c r="W171" s="10" t="str">
        <x:f>XLOOKUP(F171,'产品维表'!$A$2:$A$5,'产品维表'!$D$2:$D$5,"未映射")</x:f>
        <x:v>L</x:v>
      </x:c>
      <x:c r="X171" s="10" t="str">
        <x:f>XLOOKUP(F171,'产品维表'!$A$2:$A$5,'产品维表'!$B$2:$B$5,"未映射")</x:f>
        <x:v>L2</x:v>
      </x:c>
      <x:c r="Y171" s="10" t="str">
        <x:f>XLOOKUP(G171,'渠道维表'!$A$2:$A$4,'渠道维表'!$B$2:$B$4,"未映射")</x:f>
        <x:v>区域经销</x:v>
      </x:c>
      <x:c r="Z171" s="10" t="str">
        <x:f>XLOOKUP(H171,'区域维表'!$A$2:$A$5,'区域维表'!$B$2:$B$5,"未映射")</x:f>
        <x:v>华东</x:v>
      </x:c>
      <x:c r="AA171" s="10" t="n">
        <x:f>XLOOKUP(B171,'日期维表'!$A$2:$A$43,'日期维表'!$F$2:$F$43,0)</x:f>
        <x:v>11</x:v>
      </x:c>
    </x:row>
    <x:row r="172" ht="15" hidden="0" customHeight="1">
      <x:c r="A172" s="10" t="str">
        <x:v>SO00171</x:v>
      </x:c>
      <x:c r="B172" s="10" t="n">
        <x:v>202409</x:v>
      </x:c>
      <x:c r="C172" s="10" t="n">
        <x:v>45548</x:v>
      </x:c>
      <x:c r="D172" s="10" t="n">
        <x:v>45555</x:v>
      </x:c>
      <x:c r="E172" s="10" t="n">
        <x:v>45555</x:v>
      </x:c>
      <x:c r="F172" s="10" t="n">
        <x:v>101</x:v>
      </x:c>
      <x:c r="G172" s="10" t="n">
        <x:v>3</x:v>
      </x:c>
      <x:c r="H172" s="10" t="n">
        <x:v>2</x:v>
      </x:c>
      <x:c r="I172" s="10" t="n">
        <x:v>38</x:v>
      </x:c>
      <x:c r="J172" s="10" t="n">
        <x:v>38</x:v>
      </x:c>
      <x:c r="K172" s="64" t="n">
        <x:v>2753.74</x:v>
      </x:c>
      <x:c r="L172" s="64" t="n">
        <x:v>114991.21</x:v>
      </x:c>
      <x:c r="M172" s="64" t="n">
        <x:v>10349.21</x:v>
      </x:c>
      <x:c r="N172" s="64" t="n">
        <x:v>104642</x:v>
      </x:c>
      <x:c r="O172" s="64" t="n">
        <x:v>1872.37</x:v>
      </x:c>
      <x:c r="P172" s="64" t="n">
        <x:v>71150.16</x:v>
      </x:c>
      <x:c r="Q172" s="64" t="n">
        <x:v>33491.84</x:v>
      </x:c>
      <x:c r="R172" s="10" t="n">
        <x:v>7</x:v>
      </x:c>
      <x:c r="S172" s="10" t="n">
        <x:v>1</x:v>
      </x:c>
      <x:c r="T172" s="10" t="n">
        <x:v>1</x:v>
      </x:c>
      <x:c r="U172" s="10" t="str">
        <x:v>Completed</x:v>
      </x:c>
      <x:c r="V172" s="10" t="n">
        <x:v>30</x:v>
      </x:c>
      <x:c r="W172" s="10" t="str">
        <x:f>XLOOKUP(F172,'产品维表'!$A$2:$A$5,'产品维表'!$D$2:$D$5,"未映射")</x:f>
        <x:v>L</x:v>
      </x:c>
      <x:c r="X172" s="10" t="str">
        <x:f>XLOOKUP(F172,'产品维表'!$A$2:$A$5,'产品维表'!$B$2:$B$5,"未映射")</x:f>
        <x:v>L1</x:v>
      </x:c>
      <x:c r="Y172" s="10" t="str">
        <x:f>XLOOKUP(G172,'渠道维表'!$A$2:$A$4,'渠道维表'!$B$2:$B$4,"未映射")</x:f>
        <x:v>区域经销</x:v>
      </x:c>
      <x:c r="Z172" s="10" t="str">
        <x:f>XLOOKUP(H172,'区域维表'!$A$2:$A$5,'区域维表'!$B$2:$B$5,"未映射")</x:f>
        <x:v>华南</x:v>
      </x:c>
      <x:c r="AA172" s="10" t="n">
        <x:f>XLOOKUP(B172,'日期维表'!$A$2:$A$43,'日期维表'!$F$2:$F$43,0)</x:f>
        <x:v>11</x:v>
      </x:c>
    </x:row>
    <x:row r="173" ht="15" hidden="0" customHeight="1">
      <x:c r="A173" s="10" t="str">
        <x:v>SO00172</x:v>
      </x:c>
      <x:c r="B173" s="10" t="n">
        <x:v>202409</x:v>
      </x:c>
      <x:c r="C173" s="10" t="n">
        <x:v>45542</x:v>
      </x:c>
      <x:c r="D173" s="10" t="n">
        <x:v>45548</x:v>
      </x:c>
      <x:c r="E173" s="10" t="n">
        <x:v>45548</x:v>
      </x:c>
      <x:c r="F173" s="10" t="n">
        <x:v>101</x:v>
      </x:c>
      <x:c r="G173" s="10" t="n">
        <x:v>1</x:v>
      </x:c>
      <x:c r="H173" s="10" t="n">
        <x:v>2</x:v>
      </x:c>
      <x:c r="I173" s="10" t="n">
        <x:v>58</x:v>
      </x:c>
      <x:c r="J173" s="10" t="n">
        <x:v>58</x:v>
      </x:c>
      <x:c r="K173" s="64" t="n">
        <x:v>2621.88</x:v>
      </x:c>
      <x:c r="L173" s="64" t="n">
        <x:v>152069</x:v>
      </x:c>
      <x:c r="M173" s="64" t="n">
        <x:v>0</x:v>
      </x:c>
      <x:c r="N173" s="64" t="n">
        <x:v>152069</x:v>
      </x:c>
      <x:c r="O173" s="64" t="n">
        <x:v>1812.34</x:v>
      </x:c>
      <x:c r="P173" s="64" t="n">
        <x:v>105115.72</x:v>
      </x:c>
      <x:c r="Q173" s="64" t="n">
        <x:v>46953.28</x:v>
      </x:c>
      <x:c r="R173" s="10" t="n">
        <x:v>6</x:v>
      </x:c>
      <x:c r="S173" s="10" t="n">
        <x:v>1</x:v>
      </x:c>
      <x:c r="T173" s="10" t="n">
        <x:v>1</x:v>
      </x:c>
      <x:c r="U173" s="10" t="str">
        <x:v>Completed</x:v>
      </x:c>
      <x:c r="V173" s="10" t="n">
        <x:v>0</x:v>
      </x:c>
      <x:c r="W173" s="10" t="str">
        <x:f>XLOOKUP(F173,'产品维表'!$A$2:$A$5,'产品维表'!$D$2:$D$5,"未映射")</x:f>
        <x:v>L</x:v>
      </x:c>
      <x:c r="X173" s="10" t="str">
        <x:f>XLOOKUP(F173,'产品维表'!$A$2:$A$5,'产品维表'!$B$2:$B$5,"未映射")</x:f>
        <x:v>L1</x:v>
      </x:c>
      <x:c r="Y173" s="10" t="str">
        <x:f>XLOOKUP(G173,'渠道维表'!$A$2:$A$4,'渠道维表'!$B$2:$B$4,"未映射")</x:f>
        <x:v>线上直营</x:v>
      </x:c>
      <x:c r="Z173" s="10" t="str">
        <x:f>XLOOKUP(H173,'区域维表'!$A$2:$A$5,'区域维表'!$B$2:$B$5,"未映射")</x:f>
        <x:v>华南</x:v>
      </x:c>
      <x:c r="AA173" s="10" t="n">
        <x:f>XLOOKUP(B173,'日期维表'!$A$2:$A$43,'日期维表'!$F$2:$F$43,0)</x:f>
        <x:v>11</x:v>
      </x:c>
    </x:row>
    <x:row r="174" ht="15" hidden="0" customHeight="1">
      <x:c r="A174" s="10" t="str">
        <x:v>SO00173</x:v>
      </x:c>
      <x:c r="B174" s="10" t="n">
        <x:v>202409</x:v>
      </x:c>
      <x:c r="C174" s="10" t="n">
        <x:v>45556</x:v>
      </x:c>
      <x:c r="D174" s="10" t="n">
        <x:v>45562</x:v>
      </x:c>
      <x:c r="E174" s="10" t="n">
        <x:v>45562</x:v>
      </x:c>
      <x:c r="F174" s="10" t="n">
        <x:v>102</x:v>
      </x:c>
      <x:c r="G174" s="10" t="n">
        <x:v>3</x:v>
      </x:c>
      <x:c r="H174" s="10" t="n">
        <x:v>3</x:v>
      </x:c>
      <x:c r="I174" s="10" t="n">
        <x:v>45</x:v>
      </x:c>
      <x:c r="J174" s="10" t="n">
        <x:v>45</x:v>
      </x:c>
      <x:c r="K174" s="64" t="n">
        <x:v>2625.96</x:v>
      </x:c>
      <x:c r="L174" s="64" t="n">
        <x:v>129854.95</x:v>
      </x:c>
      <x:c r="M174" s="64" t="n">
        <x:v>11686.95</x:v>
      </x:c>
      <x:c r="N174" s="64" t="n">
        <x:v>118168</x:v>
      </x:c>
      <x:c r="O174" s="64" t="n">
        <x:v>1871.75</x:v>
      </x:c>
      <x:c r="P174" s="64" t="n">
        <x:v>84228.62</x:v>
      </x:c>
      <x:c r="Q174" s="64" t="n">
        <x:v>33939.38</x:v>
      </x:c>
      <x:c r="R174" s="10" t="n">
        <x:v>6</x:v>
      </x:c>
      <x:c r="S174" s="10" t="n">
        <x:v>1</x:v>
      </x:c>
      <x:c r="T174" s="10" t="n">
        <x:v>1</x:v>
      </x:c>
      <x:c r="U174" s="10" t="str">
        <x:v>Completed</x:v>
      </x:c>
      <x:c r="V174" s="10" t="n">
        <x:v>30</x:v>
      </x:c>
      <x:c r="W174" s="10" t="str">
        <x:f>XLOOKUP(F174,'产品维表'!$A$2:$A$5,'产品维表'!$D$2:$D$5,"未映射")</x:f>
        <x:v>L</x:v>
      </x:c>
      <x:c r="X174" s="10" t="str">
        <x:f>XLOOKUP(F174,'产品维表'!$A$2:$A$5,'产品维表'!$B$2:$B$5,"未映射")</x:f>
        <x:v>L2</x:v>
      </x:c>
      <x:c r="Y174" s="10" t="str">
        <x:f>XLOOKUP(G174,'渠道维表'!$A$2:$A$4,'渠道维表'!$B$2:$B$4,"未映射")</x:f>
        <x:v>区域经销</x:v>
      </x:c>
      <x:c r="Z174" s="10" t="str">
        <x:f>XLOOKUP(H174,'区域维表'!$A$2:$A$5,'区域维表'!$B$2:$B$5,"未映射")</x:f>
        <x:v>华北</x:v>
      </x:c>
      <x:c r="AA174" s="10" t="n">
        <x:f>XLOOKUP(B174,'日期维表'!$A$2:$A$43,'日期维表'!$F$2:$F$43,0)</x:f>
        <x:v>11</x:v>
      </x:c>
    </x:row>
    <x:row r="175" ht="15" hidden="0" customHeight="1">
      <x:c r="A175" s="10" t="str">
        <x:v>SO00174</x:v>
      </x:c>
      <x:c r="B175" s="10" t="n">
        <x:v>202409</x:v>
      </x:c>
      <x:c r="C175" s="10" t="n">
        <x:v>45544</x:v>
      </x:c>
      <x:c r="D175" s="10" t="n">
        <x:v>45550</x:v>
      </x:c>
      <x:c r="E175" s="10" t="n">
        <x:v>45550</x:v>
      </x:c>
      <x:c r="F175" s="10" t="n">
        <x:v>101</x:v>
      </x:c>
      <x:c r="G175" s="10" t="n">
        <x:v>3</x:v>
      </x:c>
      <x:c r="H175" s="10" t="n">
        <x:v>2</x:v>
      </x:c>
      <x:c r="I175" s="10" t="n">
        <x:v>38</x:v>
      </x:c>
      <x:c r="J175" s="10" t="n">
        <x:v>38</x:v>
      </x:c>
      <x:c r="K175" s="64" t="n">
        <x:v>2787.32</x:v>
      </x:c>
      <x:c r="L175" s="64" t="n">
        <x:v>116393.41</x:v>
      </x:c>
      <x:c r="M175" s="64" t="n">
        <x:v>10475.41</x:v>
      </x:c>
      <x:c r="N175" s="64" t="n">
        <x:v>105918</x:v>
      </x:c>
      <x:c r="O175" s="64" t="n">
        <x:v>1844.79</x:v>
      </x:c>
      <x:c r="P175" s="64" t="n">
        <x:v>70102.01</x:v>
      </x:c>
      <x:c r="Q175" s="64" t="n">
        <x:v>35815.99</x:v>
      </x:c>
      <x:c r="R175" s="10" t="n">
        <x:v>6</x:v>
      </x:c>
      <x:c r="S175" s="10" t="n">
        <x:v>1</x:v>
      </x:c>
      <x:c r="T175" s="10" t="n">
        <x:v>1</x:v>
      </x:c>
      <x:c r="U175" s="10" t="str">
        <x:v>Completed</x:v>
      </x:c>
      <x:c r="V175" s="10" t="n">
        <x:v>30</x:v>
      </x:c>
      <x:c r="W175" s="10" t="str">
        <x:f>XLOOKUP(F175,'产品维表'!$A$2:$A$5,'产品维表'!$D$2:$D$5,"未映射")</x:f>
        <x:v>L</x:v>
      </x:c>
      <x:c r="X175" s="10" t="str">
        <x:f>XLOOKUP(F175,'产品维表'!$A$2:$A$5,'产品维表'!$B$2:$B$5,"未映射")</x:f>
        <x:v>L1</x:v>
      </x:c>
      <x:c r="Y175" s="10" t="str">
        <x:f>XLOOKUP(G175,'渠道维表'!$A$2:$A$4,'渠道维表'!$B$2:$B$4,"未映射")</x:f>
        <x:v>区域经销</x:v>
      </x:c>
      <x:c r="Z175" s="10" t="str">
        <x:f>XLOOKUP(H175,'区域维表'!$A$2:$A$5,'区域维表'!$B$2:$B$5,"未映射")</x:f>
        <x:v>华南</x:v>
      </x:c>
      <x:c r="AA175" s="10" t="n">
        <x:f>XLOOKUP(B175,'日期维表'!$A$2:$A$43,'日期维表'!$F$2:$F$43,0)</x:f>
        <x:v>11</x:v>
      </x:c>
    </x:row>
    <x:row r="176" ht="15" hidden="0" customHeight="1">
      <x:c r="A176" s="10" t="str">
        <x:v>SO00175</x:v>
      </x:c>
      <x:c r="B176" s="10" t="n">
        <x:v>202409</x:v>
      </x:c>
      <x:c r="C176" s="10" t="n">
        <x:v>45540</x:v>
      </x:c>
      <x:c r="D176" s="10" t="n">
        <x:v>45549</x:v>
      </x:c>
      <x:c r="E176" s="10" t="n">
        <x:v>45549</x:v>
      </x:c>
      <x:c r="F176" s="10" t="n">
        <x:v>101</x:v>
      </x:c>
      <x:c r="G176" s="10" t="n">
        <x:v>2</x:v>
      </x:c>
      <x:c r="H176" s="10" t="n">
        <x:v>4</x:v>
      </x:c>
      <x:c r="I176" s="10" t="n">
        <x:v>58</x:v>
      </x:c>
      <x:c r="J176" s="10" t="n">
        <x:v>58</x:v>
      </x:c>
      <x:c r="K176" s="64" t="n">
        <x:v>2784.12</x:v>
      </x:c>
      <x:c r="L176" s="64" t="n">
        <x:v>166473.2</x:v>
      </x:c>
      <x:c r="M176" s="64" t="n">
        <x:v>4994.2</x:v>
      </x:c>
      <x:c r="N176" s="64" t="n">
        <x:v>161479</x:v>
      </x:c>
      <x:c r="O176" s="64" t="n">
        <x:v>1836.25</x:v>
      </x:c>
      <x:c r="P176" s="64" t="n">
        <x:v>106502.31</x:v>
      </x:c>
      <x:c r="Q176" s="64" t="n">
        <x:v>54976.69</x:v>
      </x:c>
      <x:c r="R176" s="10" t="n">
        <x:v>9</x:v>
      </x:c>
      <x:c r="S176" s="10" t="n">
        <x:v>1</x:v>
      </x:c>
      <x:c r="T176" s="10" t="n">
        <x:v>1</x:v>
      </x:c>
      <x:c r="U176" s="10" t="str">
        <x:v>Completed</x:v>
      </x:c>
      <x:c r="V176" s="10" t="n">
        <x:v>15</x:v>
      </x:c>
      <x:c r="W176" s="10" t="str">
        <x:f>XLOOKUP(F176,'产品维表'!$A$2:$A$5,'产品维表'!$D$2:$D$5,"未映射")</x:f>
        <x:v>L</x:v>
      </x:c>
      <x:c r="X176" s="10" t="str">
        <x:f>XLOOKUP(F176,'产品维表'!$A$2:$A$5,'产品维表'!$B$2:$B$5,"未映射")</x:f>
        <x:v>L1</x:v>
      </x:c>
      <x:c r="Y176" s="10" t="str">
        <x:f>XLOOKUP(G176,'渠道维表'!$A$2:$A$4,'渠道维表'!$B$2:$B$4,"未映射")</x:f>
        <x:v>线下零售</x:v>
      </x:c>
      <x:c r="Z176" s="10" t="str">
        <x:f>XLOOKUP(H176,'区域维表'!$A$2:$A$5,'区域维表'!$B$2:$B$5,"未映射")</x:f>
        <x:v>中西部</x:v>
      </x:c>
      <x:c r="AA176" s="10" t="n">
        <x:f>XLOOKUP(B176,'日期维表'!$A$2:$A$43,'日期维表'!$F$2:$F$43,0)</x:f>
        <x:v>11</x:v>
      </x:c>
    </x:row>
    <x:row r="177" ht="15" hidden="0" customHeight="1">
      <x:c r="A177" s="10" t="str">
        <x:v>SO00176</x:v>
      </x:c>
      <x:c r="B177" s="10" t="n">
        <x:v>202409</x:v>
      </x:c>
      <x:c r="C177" s="10" t="n">
        <x:v>45538</x:v>
      </x:c>
      <x:c r="D177" s="10" t="n">
        <x:v>45549</x:v>
      </x:c>
      <x:c r="E177" s="10" t="n">
        <x:v>45549</x:v>
      </x:c>
      <x:c r="F177" s="10" t="n">
        <x:v>101</x:v>
      </x:c>
      <x:c r="G177" s="10" t="n">
        <x:v>3</x:v>
      </x:c>
      <x:c r="H177" s="10" t="n">
        <x:v>1</x:v>
      </x:c>
      <x:c r="I177" s="10" t="n">
        <x:v>48</x:v>
      </x:c>
      <x:c r="J177" s="10" t="n">
        <x:v>48</x:v>
      </x:c>
      <x:c r="K177" s="64" t="n">
        <x:v>2897.69</x:v>
      </x:c>
      <x:c r="L177" s="64" t="n">
        <x:v>152845.05</x:v>
      </x:c>
      <x:c r="M177" s="64" t="n">
        <x:v>13756.05</x:v>
      </x:c>
      <x:c r="N177" s="64" t="n">
        <x:v>139089</x:v>
      </x:c>
      <x:c r="O177" s="64" t="n">
        <x:v>1822.39</x:v>
      </x:c>
      <x:c r="P177" s="64" t="n">
        <x:v>87474.61</x:v>
      </x:c>
      <x:c r="Q177" s="64" t="n">
        <x:v>51614.39</x:v>
      </x:c>
      <x:c r="R177" s="10" t="n">
        <x:v>11</x:v>
      </x:c>
      <x:c r="S177" s="10" t="n">
        <x:v>1</x:v>
      </x:c>
      <x:c r="T177" s="10" t="n">
        <x:v>1</x:v>
      </x:c>
      <x:c r="U177" s="10" t="str">
        <x:v>Completed</x:v>
      </x:c>
      <x:c r="V177" s="10" t="n">
        <x:v>30</x:v>
      </x:c>
      <x:c r="W177" s="10" t="str">
        <x:f>XLOOKUP(F177,'产品维表'!$A$2:$A$5,'产品维表'!$D$2:$D$5,"未映射")</x:f>
        <x:v>L</x:v>
      </x:c>
      <x:c r="X177" s="10" t="str">
        <x:f>XLOOKUP(F177,'产品维表'!$A$2:$A$5,'产品维表'!$B$2:$B$5,"未映射")</x:f>
        <x:v>L1</x:v>
      </x:c>
      <x:c r="Y177" s="10" t="str">
        <x:f>XLOOKUP(G177,'渠道维表'!$A$2:$A$4,'渠道维表'!$B$2:$B$4,"未映射")</x:f>
        <x:v>区域经销</x:v>
      </x:c>
      <x:c r="Z177" s="10" t="str">
        <x:f>XLOOKUP(H177,'区域维表'!$A$2:$A$5,'区域维表'!$B$2:$B$5,"未映射")</x:f>
        <x:v>华东</x:v>
      </x:c>
      <x:c r="AA177" s="10" t="n">
        <x:f>XLOOKUP(B177,'日期维表'!$A$2:$A$43,'日期维表'!$F$2:$F$43,0)</x:f>
        <x:v>11</x:v>
      </x:c>
    </x:row>
    <x:row r="178" ht="15" hidden="0" customHeight="1">
      <x:c r="A178" s="10" t="str">
        <x:v>SO00177</x:v>
      </x:c>
      <x:c r="B178" s="10" t="n">
        <x:v>202409</x:v>
      </x:c>
      <x:c r="C178" s="10" t="n">
        <x:v>45553</x:v>
      </x:c>
      <x:c r="D178" s="10" t="n">
        <x:v>45559</x:v>
      </x:c>
      <x:c r="E178" s="10" t="n">
        <x:v>45559</x:v>
      </x:c>
      <x:c r="F178" s="10" t="n">
        <x:v>101</x:v>
      </x:c>
      <x:c r="G178" s="10" t="n">
        <x:v>1</x:v>
      </x:c>
      <x:c r="H178" s="10" t="n">
        <x:v>1</x:v>
      </x:c>
      <x:c r="I178" s="10" t="n">
        <x:v>61</x:v>
      </x:c>
      <x:c r="J178" s="10" t="n">
        <x:v>61</x:v>
      </x:c>
      <x:c r="K178" s="64" t="n">
        <x:v>2848.21</x:v>
      </x:c>
      <x:c r="L178" s="64" t="n">
        <x:v>173741</x:v>
      </x:c>
      <x:c r="M178" s="64" t="n">
        <x:v>0</x:v>
      </x:c>
      <x:c r="N178" s="64" t="n">
        <x:v>173741</x:v>
      </x:c>
      <x:c r="O178" s="64" t="n">
        <x:v>1819.32</x:v>
      </x:c>
      <x:c r="P178" s="64" t="n">
        <x:v>110978.47</x:v>
      </x:c>
      <x:c r="Q178" s="64" t="n">
        <x:v>62762.53</x:v>
      </x:c>
      <x:c r="R178" s="10" t="n">
        <x:v>6</x:v>
      </x:c>
      <x:c r="S178" s="10" t="n">
        <x:v>1</x:v>
      </x:c>
      <x:c r="T178" s="10" t="n">
        <x:v>1</x:v>
      </x:c>
      <x:c r="U178" s="10" t="str">
        <x:v>Completed</x:v>
      </x:c>
      <x:c r="V178" s="10" t="n">
        <x:v>0</x:v>
      </x:c>
      <x:c r="W178" s="10" t="str">
        <x:f>XLOOKUP(F178,'产品维表'!$A$2:$A$5,'产品维表'!$D$2:$D$5,"未映射")</x:f>
        <x:v>L</x:v>
      </x:c>
      <x:c r="X178" s="10" t="str">
        <x:f>XLOOKUP(F178,'产品维表'!$A$2:$A$5,'产品维表'!$B$2:$B$5,"未映射")</x:f>
        <x:v>L1</x:v>
      </x:c>
      <x:c r="Y178" s="10" t="str">
        <x:f>XLOOKUP(G178,'渠道维表'!$A$2:$A$4,'渠道维表'!$B$2:$B$4,"未映射")</x:f>
        <x:v>线上直营</x:v>
      </x:c>
      <x:c r="Z178" s="10" t="str">
        <x:f>XLOOKUP(H178,'区域维表'!$A$2:$A$5,'区域维表'!$B$2:$B$5,"未映射")</x:f>
        <x:v>华东</x:v>
      </x:c>
      <x:c r="AA178" s="10" t="n">
        <x:f>XLOOKUP(B178,'日期维表'!$A$2:$A$43,'日期维表'!$F$2:$F$43,0)</x:f>
        <x:v>11</x:v>
      </x:c>
    </x:row>
    <x:row r="179" ht="15" hidden="0" customHeight="1">
      <x:c r="A179" s="10" t="str">
        <x:v>SO00178</x:v>
      </x:c>
      <x:c r="B179" s="10" t="n">
        <x:v>202409</x:v>
      </x:c>
      <x:c r="C179" s="10" t="n">
        <x:v>45552</x:v>
      </x:c>
      <x:c r="D179" s="10" t="n">
        <x:v>45562</x:v>
      </x:c>
      <x:c r="E179" s="10" t="n">
        <x:v>45562</x:v>
      </x:c>
      <x:c r="F179" s="10" t="n">
        <x:v>101</x:v>
      </x:c>
      <x:c r="G179" s="10" t="n">
        <x:v>2</x:v>
      </x:c>
      <x:c r="H179" s="10" t="n">
        <x:v>4</x:v>
      </x:c>
      <x:c r="I179" s="10" t="n">
        <x:v>31</x:v>
      </x:c>
      <x:c r="J179" s="10" t="n">
        <x:v>31</x:v>
      </x:c>
      <x:c r="K179" s="64" t="n">
        <x:v>2662.13</x:v>
      </x:c>
      <x:c r="L179" s="64" t="n">
        <x:v>85078.35</x:v>
      </x:c>
      <x:c r="M179" s="64" t="n">
        <x:v>2552.35</x:v>
      </x:c>
      <x:c r="N179" s="64" t="n">
        <x:v>82526</x:v>
      </x:c>
      <x:c r="O179" s="64" t="n">
        <x:v>1812.74</x:v>
      </x:c>
      <x:c r="P179" s="64" t="n">
        <x:v>56195.08</x:v>
      </x:c>
      <x:c r="Q179" s="64" t="n">
        <x:v>26330.92</x:v>
      </x:c>
      <x:c r="R179" s="10" t="n">
        <x:v>10</x:v>
      </x:c>
      <x:c r="S179" s="10" t="n">
        <x:v>1</x:v>
      </x:c>
      <x:c r="T179" s="10" t="n">
        <x:v>1</x:v>
      </x:c>
      <x:c r="U179" s="10" t="str">
        <x:v>Completed</x:v>
      </x:c>
      <x:c r="V179" s="10" t="n">
        <x:v>15</x:v>
      </x:c>
      <x:c r="W179" s="10" t="str">
        <x:f>XLOOKUP(F179,'产品维表'!$A$2:$A$5,'产品维表'!$D$2:$D$5,"未映射")</x:f>
        <x:v>L</x:v>
      </x:c>
      <x:c r="X179" s="10" t="str">
        <x:f>XLOOKUP(F179,'产品维表'!$A$2:$A$5,'产品维表'!$B$2:$B$5,"未映射")</x:f>
        <x:v>L1</x:v>
      </x:c>
      <x:c r="Y179" s="10" t="str">
        <x:f>XLOOKUP(G179,'渠道维表'!$A$2:$A$4,'渠道维表'!$B$2:$B$4,"未映射")</x:f>
        <x:v>线下零售</x:v>
      </x:c>
      <x:c r="Z179" s="10" t="str">
        <x:f>XLOOKUP(H179,'区域维表'!$A$2:$A$5,'区域维表'!$B$2:$B$5,"未映射")</x:f>
        <x:v>中西部</x:v>
      </x:c>
      <x:c r="AA179" s="10" t="n">
        <x:f>XLOOKUP(B179,'日期维表'!$A$2:$A$43,'日期维表'!$F$2:$F$43,0)</x:f>
        <x:v>11</x:v>
      </x:c>
    </x:row>
    <x:row r="180" ht="15" hidden="0" customHeight="1">
      <x:c r="A180" s="10" t="str">
        <x:v>SO00179</x:v>
      </x:c>
      <x:c r="B180" s="10" t="n">
        <x:v>202409</x:v>
      </x:c>
      <x:c r="C180" s="10" t="n">
        <x:v>45540</x:v>
      </x:c>
      <x:c r="D180" s="10" t="n">
        <x:v>45546</x:v>
      </x:c>
      <x:c r="E180" s="10" t="n">
        <x:v>45546</x:v>
      </x:c>
      <x:c r="F180" s="10" t="n">
        <x:v>102</x:v>
      </x:c>
      <x:c r="G180" s="10" t="n">
        <x:v>2</x:v>
      </x:c>
      <x:c r="H180" s="10" t="n">
        <x:v>1</x:v>
      </x:c>
      <x:c r="I180" s="10" t="n">
        <x:v>42</x:v>
      </x:c>
      <x:c r="J180" s="10" t="n">
        <x:v>42</x:v>
      </x:c>
      <x:c r="K180" s="64" t="n">
        <x:v>2887.6</x:v>
      </x:c>
      <x:c r="L180" s="64" t="n">
        <x:v>125029.9</x:v>
      </x:c>
      <x:c r="M180" s="64" t="n">
        <x:v>3750.9</x:v>
      </x:c>
      <x:c r="N180" s="64" t="n">
        <x:v>121279</x:v>
      </x:c>
      <x:c r="O180" s="64" t="n">
        <x:v>2235.46</x:v>
      </x:c>
      <x:c r="P180" s="64" t="n">
        <x:v>93889.31</x:v>
      </x:c>
      <x:c r="Q180" s="64" t="n">
        <x:v>27389.69</x:v>
      </x:c>
      <x:c r="R180" s="10" t="n">
        <x:v>6</x:v>
      </x:c>
      <x:c r="S180" s="10" t="n">
        <x:v>1</x:v>
      </x:c>
      <x:c r="T180" s="10" t="n">
        <x:v>1</x:v>
      </x:c>
      <x:c r="U180" s="10" t="str">
        <x:v>Completed</x:v>
      </x:c>
      <x:c r="V180" s="10" t="n">
        <x:v>15</x:v>
      </x:c>
      <x:c r="W180" s="10" t="str">
        <x:f>XLOOKUP(F180,'产品维表'!$A$2:$A$5,'产品维表'!$D$2:$D$5,"未映射")</x:f>
        <x:v>L</x:v>
      </x:c>
      <x:c r="X180" s="10" t="str">
        <x:f>XLOOKUP(F180,'产品维表'!$A$2:$A$5,'产品维表'!$B$2:$B$5,"未映射")</x:f>
        <x:v>L2</x:v>
      </x:c>
      <x:c r="Y180" s="10" t="str">
        <x:f>XLOOKUP(G180,'渠道维表'!$A$2:$A$4,'渠道维表'!$B$2:$B$4,"未映射")</x:f>
        <x:v>线下零售</x:v>
      </x:c>
      <x:c r="Z180" s="10" t="str">
        <x:f>XLOOKUP(H180,'区域维表'!$A$2:$A$5,'区域维表'!$B$2:$B$5,"未映射")</x:f>
        <x:v>华东</x:v>
      </x:c>
      <x:c r="AA180" s="10" t="n">
        <x:f>XLOOKUP(B180,'日期维表'!$A$2:$A$43,'日期维表'!$F$2:$F$43,0)</x:f>
        <x:v>11</x:v>
      </x:c>
    </x:row>
    <x:row r="181" ht="15" hidden="0" customHeight="1">
      <x:c r="A181" s="10" t="str">
        <x:v>SO00180</x:v>
      </x:c>
      <x:c r="B181" s="10" t="n">
        <x:v>202409</x:v>
      </x:c>
      <x:c r="C181" s="10" t="n">
        <x:v>45549</x:v>
      </x:c>
      <x:c r="D181" s="10" t="n">
        <x:v>45557</x:v>
      </x:c>
      <x:c r="E181" s="10" t="n">
        <x:v>45557</x:v>
      </x:c>
      <x:c r="F181" s="10" t="n">
        <x:v>101</x:v>
      </x:c>
      <x:c r="G181" s="10" t="n">
        <x:v>3</x:v>
      </x:c>
      <x:c r="H181" s="10" t="n">
        <x:v>3</x:v>
      </x:c>
      <x:c r="I181" s="10" t="n">
        <x:v>37</x:v>
      </x:c>
      <x:c r="J181" s="10" t="n">
        <x:v>37</x:v>
      </x:c>
      <x:c r="K181" s="64" t="n">
        <x:v>2771.57</x:v>
      </x:c>
      <x:c r="L181" s="64" t="n">
        <x:v>112690.11</x:v>
      </x:c>
      <x:c r="M181" s="64" t="n">
        <x:v>10142.11</x:v>
      </x:c>
      <x:c r="N181" s="64" t="n">
        <x:v>102548</x:v>
      </x:c>
      <x:c r="O181" s="64" t="n">
        <x:v>1817.99</x:v>
      </x:c>
      <x:c r="P181" s="64" t="n">
        <x:v>67265.51</x:v>
      </x:c>
      <x:c r="Q181" s="64" t="n">
        <x:v>35282.49</x:v>
      </x:c>
      <x:c r="R181" s="10" t="n">
        <x:v>8</x:v>
      </x:c>
      <x:c r="S181" s="10" t="n">
        <x:v>1</x:v>
      </x:c>
      <x:c r="T181" s="10" t="n">
        <x:v>1</x:v>
      </x:c>
      <x:c r="U181" s="10" t="str">
        <x:v>Completed</x:v>
      </x:c>
      <x:c r="V181" s="10" t="n">
        <x:v>30</x:v>
      </x:c>
      <x:c r="W181" s="10" t="str">
        <x:f>XLOOKUP(F181,'产品维表'!$A$2:$A$5,'产品维表'!$D$2:$D$5,"未映射")</x:f>
        <x:v>L</x:v>
      </x:c>
      <x:c r="X181" s="10" t="str">
        <x:f>XLOOKUP(F181,'产品维表'!$A$2:$A$5,'产品维表'!$B$2:$B$5,"未映射")</x:f>
        <x:v>L1</x:v>
      </x:c>
      <x:c r="Y181" s="10" t="str">
        <x:f>XLOOKUP(G181,'渠道维表'!$A$2:$A$4,'渠道维表'!$B$2:$B$4,"未映射")</x:f>
        <x:v>区域经销</x:v>
      </x:c>
      <x:c r="Z181" s="10" t="str">
        <x:f>XLOOKUP(H181,'区域维表'!$A$2:$A$5,'区域维表'!$B$2:$B$5,"未映射")</x:f>
        <x:v>华北</x:v>
      </x:c>
      <x:c r="AA181" s="10" t="n">
        <x:f>XLOOKUP(B181,'日期维表'!$A$2:$A$43,'日期维表'!$F$2:$F$43,0)</x:f>
        <x:v>11</x:v>
      </x:c>
    </x:row>
    <x:row r="182" ht="15" hidden="0" customHeight="1">
      <x:c r="A182" s="10" t="str">
        <x:v>SO00181</x:v>
      </x:c>
      <x:c r="B182" s="10" t="n">
        <x:v>202409</x:v>
      </x:c>
      <x:c r="C182" s="10" t="n">
        <x:v>45556</x:v>
      </x:c>
      <x:c r="D182" s="10" t="n">
        <x:v>45568</x:v>
      </x:c>
      <x:c r="E182" s="10" t="n">
        <x:v>45568</x:v>
      </x:c>
      <x:c r="F182" s="10" t="n">
        <x:v>102</x:v>
      </x:c>
      <x:c r="G182" s="10" t="n">
        <x:v>3</x:v>
      </x:c>
      <x:c r="H182" s="10" t="n">
        <x:v>1</x:v>
      </x:c>
      <x:c r="I182" s="10" t="n">
        <x:v>24</x:v>
      </x:c>
      <x:c r="J182" s="10" t="n">
        <x:v>24</x:v>
      </x:c>
      <x:c r="K182" s="64" t="n">
        <x:v>2837.54</x:v>
      </x:c>
      <x:c r="L182" s="64" t="n">
        <x:v>74836.26</x:v>
      </x:c>
      <x:c r="M182" s="64" t="n">
        <x:v>6735.26</x:v>
      </x:c>
      <x:c r="N182" s="64" t="n">
        <x:v>68101</x:v>
      </x:c>
      <x:c r="O182" s="64" t="n">
        <x:v>2258.35</x:v>
      </x:c>
      <x:c r="P182" s="64" t="n">
        <x:v>54200.36</x:v>
      </x:c>
      <x:c r="Q182" s="64" t="n">
        <x:v>13900.64</x:v>
      </x:c>
      <x:c r="R182" s="10" t="n">
        <x:v>12</x:v>
      </x:c>
      <x:c r="S182" s="10" t="n">
        <x:v>1</x:v>
      </x:c>
      <x:c r="T182" s="10" t="n">
        <x:v>1</x:v>
      </x:c>
      <x:c r="U182" s="10" t="str">
        <x:v>Completed</x:v>
      </x:c>
      <x:c r="V182" s="10" t="n">
        <x:v>30</x:v>
      </x:c>
      <x:c r="W182" s="10" t="str">
        <x:f>XLOOKUP(F182,'产品维表'!$A$2:$A$5,'产品维表'!$D$2:$D$5,"未映射")</x:f>
        <x:v>L</x:v>
      </x:c>
      <x:c r="X182" s="10" t="str">
        <x:f>XLOOKUP(F182,'产品维表'!$A$2:$A$5,'产品维表'!$B$2:$B$5,"未映射")</x:f>
        <x:v>L2</x:v>
      </x:c>
      <x:c r="Y182" s="10" t="str">
        <x:f>XLOOKUP(G182,'渠道维表'!$A$2:$A$4,'渠道维表'!$B$2:$B$4,"未映射")</x:f>
        <x:v>区域经销</x:v>
      </x:c>
      <x:c r="Z182" s="10" t="str">
        <x:f>XLOOKUP(H182,'区域维表'!$A$2:$A$5,'区域维表'!$B$2:$B$5,"未映射")</x:f>
        <x:v>华东</x:v>
      </x:c>
      <x:c r="AA182" s="10" t="n">
        <x:f>XLOOKUP(B182,'日期维表'!$A$2:$A$43,'日期维表'!$F$2:$F$43,0)</x:f>
        <x:v>11</x:v>
      </x:c>
    </x:row>
    <x:row r="183" ht="15" hidden="0" customHeight="1">
      <x:c r="A183" s="10" t="str">
        <x:v>SO00182</x:v>
      </x:c>
      <x:c r="B183" s="10" t="n">
        <x:v>202409</x:v>
      </x:c>
      <x:c r="C183" s="10" t="n">
        <x:v>45547</x:v>
      </x:c>
      <x:c r="D183" s="10" t="n">
        <x:v>45553</x:v>
      </x:c>
      <x:c r="E183" s="10" t="n">
        <x:v>45553</x:v>
      </x:c>
      <x:c r="F183" s="10" t="n">
        <x:v>101</x:v>
      </x:c>
      <x:c r="G183" s="10" t="n">
        <x:v>3</x:v>
      </x:c>
      <x:c r="H183" s="10" t="n">
        <x:v>4</x:v>
      </x:c>
      <x:c r="I183" s="10" t="n">
        <x:v>33</x:v>
      </x:c>
      <x:c r="J183" s="10" t="n">
        <x:v>33</x:v>
      </x:c>
      <x:c r="K183" s="64" t="n">
        <x:v>2843.36</x:v>
      </x:c>
      <x:c r="L183" s="64" t="n">
        <x:v>103110.99</x:v>
      </x:c>
      <x:c r="M183" s="64" t="n">
        <x:v>9279.99</x:v>
      </x:c>
      <x:c r="N183" s="64" t="n">
        <x:v>93831</x:v>
      </x:c>
      <x:c r="O183" s="64" t="n">
        <x:v>1843.99</x:v>
      </x:c>
      <x:c r="P183" s="64" t="n">
        <x:v>60851.51</x:v>
      </x:c>
      <x:c r="Q183" s="64" t="n">
        <x:v>32979.49</x:v>
      </x:c>
      <x:c r="R183" s="10" t="n">
        <x:v>6</x:v>
      </x:c>
      <x:c r="S183" s="10" t="n">
        <x:v>1</x:v>
      </x:c>
      <x:c r="T183" s="10" t="n">
        <x:v>1</x:v>
      </x:c>
      <x:c r="U183" s="10" t="str">
        <x:v>Completed</x:v>
      </x:c>
      <x:c r="V183" s="10" t="n">
        <x:v>30</x:v>
      </x:c>
      <x:c r="W183" s="10" t="str">
        <x:f>XLOOKUP(F183,'产品维表'!$A$2:$A$5,'产品维表'!$D$2:$D$5,"未映射")</x:f>
        <x:v>L</x:v>
      </x:c>
      <x:c r="X183" s="10" t="str">
        <x:f>XLOOKUP(F183,'产品维表'!$A$2:$A$5,'产品维表'!$B$2:$B$5,"未映射")</x:f>
        <x:v>L1</x:v>
      </x:c>
      <x:c r="Y183" s="10" t="str">
        <x:f>XLOOKUP(G183,'渠道维表'!$A$2:$A$4,'渠道维表'!$B$2:$B$4,"未映射")</x:f>
        <x:v>区域经销</x:v>
      </x:c>
      <x:c r="Z183" s="10" t="str">
        <x:f>XLOOKUP(H183,'区域维表'!$A$2:$A$5,'区域维表'!$B$2:$B$5,"未映射")</x:f>
        <x:v>中西部</x:v>
      </x:c>
      <x:c r="AA183" s="10" t="n">
        <x:f>XLOOKUP(B183,'日期维表'!$A$2:$A$43,'日期维表'!$F$2:$F$43,0)</x:f>
        <x:v>11</x:v>
      </x:c>
    </x:row>
    <x:row r="184" ht="15" hidden="0" customHeight="1">
      <x:c r="A184" s="10" t="str">
        <x:v>SO00183</x:v>
      </x:c>
      <x:c r="B184" s="10" t="n">
        <x:v>202409</x:v>
      </x:c>
      <x:c r="C184" s="10" t="n">
        <x:v>45555</x:v>
      </x:c>
      <x:c r="D184" s="10" t="n">
        <x:v>45562</x:v>
      </x:c>
      <x:c r="E184" s="10" t="n">
        <x:v>45562</x:v>
      </x:c>
      <x:c r="F184" s="10" t="n">
        <x:v>101</x:v>
      </x:c>
      <x:c r="G184" s="10" t="n">
        <x:v>3</x:v>
      </x:c>
      <x:c r="H184" s="10" t="n">
        <x:v>1</x:v>
      </x:c>
      <x:c r="I184" s="10" t="n">
        <x:v>36</x:v>
      </x:c>
      <x:c r="J184" s="10" t="n">
        <x:v>36</x:v>
      </x:c>
      <x:c r="K184" s="64" t="n">
        <x:v>2673.42</x:v>
      </x:c>
      <x:c r="L184" s="64" t="n">
        <x:v>105761.54</x:v>
      </x:c>
      <x:c r="M184" s="64" t="n">
        <x:v>9518.54</x:v>
      </x:c>
      <x:c r="N184" s="64" t="n">
        <x:v>96243</x:v>
      </x:c>
      <x:c r="O184" s="64" t="n">
        <x:v>1862.96</x:v>
      </x:c>
      <x:c r="P184" s="64" t="n">
        <x:v>67066.48</x:v>
      </x:c>
      <x:c r="Q184" s="64" t="n">
        <x:v>29176.52</x:v>
      </x:c>
      <x:c r="R184" s="10" t="n">
        <x:v>7</x:v>
      </x:c>
      <x:c r="S184" s="10" t="n">
        <x:v>1</x:v>
      </x:c>
      <x:c r="T184" s="10" t="n">
        <x:v>1</x:v>
      </x:c>
      <x:c r="U184" s="10" t="str">
        <x:v>Completed</x:v>
      </x:c>
      <x:c r="V184" s="10" t="n">
        <x:v>30</x:v>
      </x:c>
      <x:c r="W184" s="10" t="str">
        <x:f>XLOOKUP(F184,'产品维表'!$A$2:$A$5,'产品维表'!$D$2:$D$5,"未映射")</x:f>
        <x:v>L</x:v>
      </x:c>
      <x:c r="X184" s="10" t="str">
        <x:f>XLOOKUP(F184,'产品维表'!$A$2:$A$5,'产品维表'!$B$2:$B$5,"未映射")</x:f>
        <x:v>L1</x:v>
      </x:c>
      <x:c r="Y184" s="10" t="str">
        <x:f>XLOOKUP(G184,'渠道维表'!$A$2:$A$4,'渠道维表'!$B$2:$B$4,"未映射")</x:f>
        <x:v>区域经销</x:v>
      </x:c>
      <x:c r="Z184" s="10" t="str">
        <x:f>XLOOKUP(H184,'区域维表'!$A$2:$A$5,'区域维表'!$B$2:$B$5,"未映射")</x:f>
        <x:v>华东</x:v>
      </x:c>
      <x:c r="AA184" s="10" t="n">
        <x:f>XLOOKUP(B184,'日期维表'!$A$2:$A$43,'日期维表'!$F$2:$F$43,0)</x:f>
        <x:v>11</x:v>
      </x:c>
    </x:row>
    <x:row r="185" ht="15" hidden="0" customHeight="1">
      <x:c r="A185" s="10" t="str">
        <x:v>SO00184</x:v>
      </x:c>
      <x:c r="B185" s="10" t="n">
        <x:v>202410</x:v>
      </x:c>
      <x:c r="C185" s="10" t="n">
        <x:v>45578</x:v>
      </x:c>
      <x:c r="D185" s="10" t="n">
        <x:v>45588</x:v>
      </x:c>
      <x:c r="E185" s="10" t="n">
        <x:v>45588</x:v>
      </x:c>
      <x:c r="F185" s="10" t="n">
        <x:v>101</x:v>
      </x:c>
      <x:c r="G185" s="10" t="n">
        <x:v>2</x:v>
      </x:c>
      <x:c r="H185" s="10" t="n">
        <x:v>3</x:v>
      </x:c>
      <x:c r="I185" s="10" t="n">
        <x:v>48</x:v>
      </x:c>
      <x:c r="J185" s="10" t="n">
        <x:v>48</x:v>
      </x:c>
      <x:c r="K185" s="64" t="n">
        <x:v>2949.9</x:v>
      </x:c>
      <x:c r="L185" s="64" t="n">
        <x:v>145974.23</x:v>
      </x:c>
      <x:c r="M185" s="64" t="n">
        <x:v>4379.23</x:v>
      </x:c>
      <x:c r="N185" s="64" t="n">
        <x:v>141595</x:v>
      </x:c>
      <x:c r="O185" s="64" t="n">
        <x:v>1804.45</x:v>
      </x:c>
      <x:c r="P185" s="64" t="n">
        <x:v>86613.76</x:v>
      </x:c>
      <x:c r="Q185" s="64" t="n">
        <x:v>54981.24</x:v>
      </x:c>
      <x:c r="R185" s="10" t="n">
        <x:v>10</x:v>
      </x:c>
      <x:c r="S185" s="10" t="n">
        <x:v>1</x:v>
      </x:c>
      <x:c r="T185" s="10" t="n">
        <x:v>1</x:v>
      </x:c>
      <x:c r="U185" s="10" t="str">
        <x:v>Completed</x:v>
      </x:c>
      <x:c r="V185" s="10" t="n">
        <x:v>15</x:v>
      </x:c>
      <x:c r="W185" s="10" t="str">
        <x:f>XLOOKUP(F185,'产品维表'!$A$2:$A$5,'产品维表'!$D$2:$D$5,"未映射")</x:f>
        <x:v>L</x:v>
      </x:c>
      <x:c r="X185" s="10" t="str">
        <x:f>XLOOKUP(F185,'产品维表'!$A$2:$A$5,'产品维表'!$B$2:$B$5,"未映射")</x:f>
        <x:v>L1</x:v>
      </x:c>
      <x:c r="Y185" s="10" t="str">
        <x:f>XLOOKUP(G185,'渠道维表'!$A$2:$A$4,'渠道维表'!$B$2:$B$4,"未映射")</x:f>
        <x:v>线下零售</x:v>
      </x:c>
      <x:c r="Z185" s="10" t="str">
        <x:f>XLOOKUP(H185,'区域维表'!$A$2:$A$5,'区域维表'!$B$2:$B$5,"未映射")</x:f>
        <x:v>华北</x:v>
      </x:c>
      <x:c r="AA185" s="10" t="n">
        <x:f>XLOOKUP(B185,'日期维表'!$A$2:$A$43,'日期维表'!$F$2:$F$43,0)</x:f>
        <x:v>12</x:v>
      </x:c>
    </x:row>
    <x:row r="186" ht="15" hidden="0" customHeight="1">
      <x:c r="A186" s="10" t="str">
        <x:v>SO00185</x:v>
      </x:c>
      <x:c r="B186" s="10" t="n">
        <x:v>202410</x:v>
      </x:c>
      <x:c r="C186" s="10" t="n">
        <x:v>45579</x:v>
      </x:c>
      <x:c r="D186" s="10" t="n">
        <x:v>45587</x:v>
      </x:c>
      <x:c r="E186" s="10" t="n">
        <x:v>45587</x:v>
      </x:c>
      <x:c r="F186" s="10" t="n">
        <x:v>101</x:v>
      </x:c>
      <x:c r="G186" s="10" t="n">
        <x:v>2</x:v>
      </x:c>
      <x:c r="H186" s="10" t="n">
        <x:v>4</x:v>
      </x:c>
      <x:c r="I186" s="10" t="n">
        <x:v>60</x:v>
      </x:c>
      <x:c r="J186" s="10" t="n">
        <x:v>60</x:v>
      </x:c>
      <x:c r="K186" s="64" t="n">
        <x:v>2647.7</x:v>
      </x:c>
      <x:c r="L186" s="64" t="n">
        <x:v>163775.26</x:v>
      </x:c>
      <x:c r="M186" s="64" t="n">
        <x:v>4913.26</x:v>
      </x:c>
      <x:c r="N186" s="64" t="n">
        <x:v>158862</x:v>
      </x:c>
      <x:c r="O186" s="64" t="n">
        <x:v>1818.04</x:v>
      </x:c>
      <x:c r="P186" s="64" t="n">
        <x:v>109082.69</x:v>
      </x:c>
      <x:c r="Q186" s="64" t="n">
        <x:v>49779.31</x:v>
      </x:c>
      <x:c r="R186" s="10" t="n">
        <x:v>8</x:v>
      </x:c>
      <x:c r="S186" s="10" t="n">
        <x:v>1</x:v>
      </x:c>
      <x:c r="T186" s="10" t="n">
        <x:v>1</x:v>
      </x:c>
      <x:c r="U186" s="10" t="str">
        <x:v>Completed</x:v>
      </x:c>
      <x:c r="V186" s="10" t="n">
        <x:v>15</x:v>
      </x:c>
      <x:c r="W186" s="10" t="str">
        <x:f>XLOOKUP(F186,'产品维表'!$A$2:$A$5,'产品维表'!$D$2:$D$5,"未映射")</x:f>
        <x:v>L</x:v>
      </x:c>
      <x:c r="X186" s="10" t="str">
        <x:f>XLOOKUP(F186,'产品维表'!$A$2:$A$5,'产品维表'!$B$2:$B$5,"未映射")</x:f>
        <x:v>L1</x:v>
      </x:c>
      <x:c r="Y186" s="10" t="str">
        <x:f>XLOOKUP(G186,'渠道维表'!$A$2:$A$4,'渠道维表'!$B$2:$B$4,"未映射")</x:f>
        <x:v>线下零售</x:v>
      </x:c>
      <x:c r="Z186" s="10" t="str">
        <x:f>XLOOKUP(H186,'区域维表'!$A$2:$A$5,'区域维表'!$B$2:$B$5,"未映射")</x:f>
        <x:v>中西部</x:v>
      </x:c>
      <x:c r="AA186" s="10" t="n">
        <x:f>XLOOKUP(B186,'日期维表'!$A$2:$A$43,'日期维表'!$F$2:$F$43,0)</x:f>
        <x:v>12</x:v>
      </x:c>
    </x:row>
    <x:row r="187" ht="15" hidden="0" customHeight="1">
      <x:c r="A187" s="10" t="str">
        <x:v>SO00186</x:v>
      </x:c>
      <x:c r="B187" s="10" t="n">
        <x:v>202410</x:v>
      </x:c>
      <x:c r="C187" s="10" t="n">
        <x:v>45573</x:v>
      </x:c>
      <x:c r="D187" s="10" t="n">
        <x:v>45584</x:v>
      </x:c>
      <x:c r="E187" s="10" t="n">
        <x:v>45584</x:v>
      </x:c>
      <x:c r="F187" s="10" t="n">
        <x:v>101</x:v>
      </x:c>
      <x:c r="G187" s="10" t="n">
        <x:v>3</x:v>
      </x:c>
      <x:c r="H187" s="10" t="n">
        <x:v>1</x:v>
      </x:c>
      <x:c r="I187" s="10" t="n">
        <x:v>37</x:v>
      </x:c>
      <x:c r="J187" s="10" t="n">
        <x:v>37</x:v>
      </x:c>
      <x:c r="K187" s="64" t="n">
        <x:v>2695.16</x:v>
      </x:c>
      <x:c r="L187" s="64" t="n">
        <x:v>109583.52</x:v>
      </x:c>
      <x:c r="M187" s="64" t="n">
        <x:v>9862.52</x:v>
      </x:c>
      <x:c r="N187" s="64" t="n">
        <x:v>99721</x:v>
      </x:c>
      <x:c r="O187" s="64" t="n">
        <x:v>1861.09</x:v>
      </x:c>
      <x:c r="P187" s="64" t="n">
        <x:v>68860.35</x:v>
      </x:c>
      <x:c r="Q187" s="64" t="n">
        <x:v>30860.65</x:v>
      </x:c>
      <x:c r="R187" s="10" t="n">
        <x:v>11</x:v>
      </x:c>
      <x:c r="S187" s="10" t="n">
        <x:v>1</x:v>
      </x:c>
      <x:c r="T187" s="10" t="n">
        <x:v>1</x:v>
      </x:c>
      <x:c r="U187" s="10" t="str">
        <x:v>Completed</x:v>
      </x:c>
      <x:c r="V187" s="10" t="n">
        <x:v>30</x:v>
      </x:c>
      <x:c r="W187" s="10" t="str">
        <x:f>XLOOKUP(F187,'产品维表'!$A$2:$A$5,'产品维表'!$D$2:$D$5,"未映射")</x:f>
        <x:v>L</x:v>
      </x:c>
      <x:c r="X187" s="10" t="str">
        <x:f>XLOOKUP(F187,'产品维表'!$A$2:$A$5,'产品维表'!$B$2:$B$5,"未映射")</x:f>
        <x:v>L1</x:v>
      </x:c>
      <x:c r="Y187" s="10" t="str">
        <x:f>XLOOKUP(G187,'渠道维表'!$A$2:$A$4,'渠道维表'!$B$2:$B$4,"未映射")</x:f>
        <x:v>区域经销</x:v>
      </x:c>
      <x:c r="Z187" s="10" t="str">
        <x:f>XLOOKUP(H187,'区域维表'!$A$2:$A$5,'区域维表'!$B$2:$B$5,"未映射")</x:f>
        <x:v>华东</x:v>
      </x:c>
      <x:c r="AA187" s="10" t="n">
        <x:f>XLOOKUP(B187,'日期维表'!$A$2:$A$43,'日期维表'!$F$2:$F$43,0)</x:f>
        <x:v>12</x:v>
      </x:c>
    </x:row>
    <x:row r="188" ht="15" hidden="0" customHeight="1">
      <x:c r="A188" s="10" t="str">
        <x:v>SO00187</x:v>
      </x:c>
      <x:c r="B188" s="10" t="n">
        <x:v>202410</x:v>
      </x:c>
      <x:c r="C188" s="10" t="n">
        <x:v>45579</x:v>
      </x:c>
      <x:c r="D188" s="10" t="n">
        <x:v>45585</x:v>
      </x:c>
      <x:c r="E188" s="10" t="n">
        <x:v>45585</x:v>
      </x:c>
      <x:c r="F188" s="10" t="n">
        <x:v>101</x:v>
      </x:c>
      <x:c r="G188" s="10" t="n">
        <x:v>3</x:v>
      </x:c>
      <x:c r="H188" s="10" t="n">
        <x:v>4</x:v>
      </x:c>
      <x:c r="I188" s="10" t="n">
        <x:v>44</x:v>
      </x:c>
      <x:c r="J188" s="10" t="n">
        <x:v>44</x:v>
      </x:c>
      <x:c r="K188" s="64" t="n">
        <x:v>2708.73</x:v>
      </x:c>
      <x:c r="L188" s="64" t="n">
        <x:v>130971.43</x:v>
      </x:c>
      <x:c r="M188" s="64" t="n">
        <x:v>11787.43</x:v>
      </x:c>
      <x:c r="N188" s="64" t="n">
        <x:v>119184</x:v>
      </x:c>
      <x:c r="O188" s="64" t="n">
        <x:v>1832.02</x:v>
      </x:c>
      <x:c r="P188" s="64" t="n">
        <x:v>80608.88</x:v>
      </x:c>
      <x:c r="Q188" s="64" t="n">
        <x:v>38575.12</x:v>
      </x:c>
      <x:c r="R188" s="10" t="n">
        <x:v>6</x:v>
      </x:c>
      <x:c r="S188" s="10" t="n">
        <x:v>1</x:v>
      </x:c>
      <x:c r="T188" s="10" t="n">
        <x:v>1</x:v>
      </x:c>
      <x:c r="U188" s="10" t="str">
        <x:v>Completed</x:v>
      </x:c>
      <x:c r="V188" s="10" t="n">
        <x:v>30</x:v>
      </x:c>
      <x:c r="W188" s="10" t="str">
        <x:f>XLOOKUP(F188,'产品维表'!$A$2:$A$5,'产品维表'!$D$2:$D$5,"未映射")</x:f>
        <x:v>L</x:v>
      </x:c>
      <x:c r="X188" s="10" t="str">
        <x:f>XLOOKUP(F188,'产品维表'!$A$2:$A$5,'产品维表'!$B$2:$B$5,"未映射")</x:f>
        <x:v>L1</x:v>
      </x:c>
      <x:c r="Y188" s="10" t="str">
        <x:f>XLOOKUP(G188,'渠道维表'!$A$2:$A$4,'渠道维表'!$B$2:$B$4,"未映射")</x:f>
        <x:v>区域经销</x:v>
      </x:c>
      <x:c r="Z188" s="10" t="str">
        <x:f>XLOOKUP(H188,'区域维表'!$A$2:$A$5,'区域维表'!$B$2:$B$5,"未映射")</x:f>
        <x:v>中西部</x:v>
      </x:c>
      <x:c r="AA188" s="10" t="n">
        <x:f>XLOOKUP(B188,'日期维表'!$A$2:$A$43,'日期维表'!$F$2:$F$43,0)</x:f>
        <x:v>12</x:v>
      </x:c>
    </x:row>
    <x:row r="189" ht="15" hidden="0" customHeight="1">
      <x:c r="A189" s="10" t="str">
        <x:v>SO00188</x:v>
      </x:c>
      <x:c r="B189" s="10" t="n">
        <x:v>202410</x:v>
      </x:c>
      <x:c r="C189" s="10" t="n">
        <x:v>45588</x:v>
      </x:c>
      <x:c r="D189" s="10" t="n">
        <x:v>45597</x:v>
      </x:c>
      <x:c r="E189" s="10" t="n">
        <x:v>45597</x:v>
      </x:c>
      <x:c r="F189" s="10" t="n">
        <x:v>102</x:v>
      </x:c>
      <x:c r="G189" s="10" t="n">
        <x:v>3</x:v>
      </x:c>
      <x:c r="H189" s="10" t="n">
        <x:v>2</x:v>
      </x:c>
      <x:c r="I189" s="10" t="n">
        <x:v>28</x:v>
      </x:c>
      <x:c r="J189" s="10" t="n">
        <x:v>28</x:v>
      </x:c>
      <x:c r="K189" s="64" t="n">
        <x:v>2656.64</x:v>
      </x:c>
      <x:c r="L189" s="64" t="n">
        <x:v>81742.86</x:v>
      </x:c>
      <x:c r="M189" s="64" t="n">
        <x:v>7356.86</x:v>
      </x:c>
      <x:c r="N189" s="64" t="n">
        <x:v>74386</x:v>
      </x:c>
      <x:c r="O189" s="64" t="n">
        <x:v>2234.03</x:v>
      </x:c>
      <x:c r="P189" s="64" t="n">
        <x:v>62552.75</x:v>
      </x:c>
      <x:c r="Q189" s="64" t="n">
        <x:v>11833.25</x:v>
      </x:c>
      <x:c r="R189" s="10" t="n">
        <x:v>9</x:v>
      </x:c>
      <x:c r="S189" s="10" t="n">
        <x:v>1</x:v>
      </x:c>
      <x:c r="T189" s="10" t="n">
        <x:v>1</x:v>
      </x:c>
      <x:c r="U189" s="10" t="str">
        <x:v>Completed</x:v>
      </x:c>
      <x:c r="V189" s="10" t="n">
        <x:v>30</x:v>
      </x:c>
      <x:c r="W189" s="10" t="str">
        <x:f>XLOOKUP(F189,'产品维表'!$A$2:$A$5,'产品维表'!$D$2:$D$5,"未映射")</x:f>
        <x:v>L</x:v>
      </x:c>
      <x:c r="X189" s="10" t="str">
        <x:f>XLOOKUP(F189,'产品维表'!$A$2:$A$5,'产品维表'!$B$2:$B$5,"未映射")</x:f>
        <x:v>L2</x:v>
      </x:c>
      <x:c r="Y189" s="10" t="str">
        <x:f>XLOOKUP(G189,'渠道维表'!$A$2:$A$4,'渠道维表'!$B$2:$B$4,"未映射")</x:f>
        <x:v>区域经销</x:v>
      </x:c>
      <x:c r="Z189" s="10" t="str">
        <x:f>XLOOKUP(H189,'区域维表'!$A$2:$A$5,'区域维表'!$B$2:$B$5,"未映射")</x:f>
        <x:v>华南</x:v>
      </x:c>
      <x:c r="AA189" s="10" t="n">
        <x:f>XLOOKUP(B189,'日期维表'!$A$2:$A$43,'日期维表'!$F$2:$F$43,0)</x:f>
        <x:v>12</x:v>
      </x:c>
    </x:row>
    <x:row r="190" ht="15" hidden="0" customHeight="1">
      <x:c r="A190" s="10" t="str">
        <x:v>SO00189</x:v>
      </x:c>
      <x:c r="B190" s="10" t="n">
        <x:v>202410</x:v>
      </x:c>
      <x:c r="C190" s="10" t="n">
        <x:v>45571</x:v>
      </x:c>
      <x:c r="D190" s="10" t="n">
        <x:v>45581</x:v>
      </x:c>
      <x:c r="E190" s="10" t="n">
        <x:v>45581</x:v>
      </x:c>
      <x:c r="F190" s="10" t="n">
        <x:v>101</x:v>
      </x:c>
      <x:c r="G190" s="10" t="n">
        <x:v>1</x:v>
      </x:c>
      <x:c r="H190" s="10" t="n">
        <x:v>2</x:v>
      </x:c>
      <x:c r="I190" s="10" t="n">
        <x:v>42</x:v>
      </x:c>
      <x:c r="J190" s="10" t="n">
        <x:v>42</x:v>
      </x:c>
      <x:c r="K190" s="64" t="n">
        <x:v>2724.38</x:v>
      </x:c>
      <x:c r="L190" s="64" t="n">
        <x:v>114424</x:v>
      </x:c>
      <x:c r="M190" s="64" t="n">
        <x:v>0</x:v>
      </x:c>
      <x:c r="N190" s="64" t="n">
        <x:v>114424</x:v>
      </x:c>
      <x:c r="O190" s="64" t="n">
        <x:v>1840.17</x:v>
      </x:c>
      <x:c r="P190" s="64" t="n">
        <x:v>77287.31</x:v>
      </x:c>
      <x:c r="Q190" s="64" t="n">
        <x:v>37136.69</x:v>
      </x:c>
      <x:c r="R190" s="10" t="n">
        <x:v>10</x:v>
      </x:c>
      <x:c r="S190" s="10" t="n">
        <x:v>1</x:v>
      </x:c>
      <x:c r="T190" s="10" t="n">
        <x:v>1</x:v>
      </x:c>
      <x:c r="U190" s="10" t="str">
        <x:v>Completed</x:v>
      </x:c>
      <x:c r="V190" s="10" t="n">
        <x:v>0</x:v>
      </x:c>
      <x:c r="W190" s="10" t="str">
        <x:f>XLOOKUP(F190,'产品维表'!$A$2:$A$5,'产品维表'!$D$2:$D$5,"未映射")</x:f>
        <x:v>L</x:v>
      </x:c>
      <x:c r="X190" s="10" t="str">
        <x:f>XLOOKUP(F190,'产品维表'!$A$2:$A$5,'产品维表'!$B$2:$B$5,"未映射")</x:f>
        <x:v>L1</x:v>
      </x:c>
      <x:c r="Y190" s="10" t="str">
        <x:f>XLOOKUP(G190,'渠道维表'!$A$2:$A$4,'渠道维表'!$B$2:$B$4,"未映射")</x:f>
        <x:v>线上直营</x:v>
      </x:c>
      <x:c r="Z190" s="10" t="str">
        <x:f>XLOOKUP(H190,'区域维表'!$A$2:$A$5,'区域维表'!$B$2:$B$5,"未映射")</x:f>
        <x:v>华南</x:v>
      </x:c>
      <x:c r="AA190" s="10" t="n">
        <x:f>XLOOKUP(B190,'日期维表'!$A$2:$A$43,'日期维表'!$F$2:$F$43,0)</x:f>
        <x:v>12</x:v>
      </x:c>
    </x:row>
    <x:row r="191" ht="15" hidden="0" customHeight="1">
      <x:c r="A191" s="10" t="str">
        <x:v>SO00190</x:v>
      </x:c>
      <x:c r="B191" s="10" t="n">
        <x:v>202410</x:v>
      </x:c>
      <x:c r="C191" s="10" t="n">
        <x:v>45584</x:v>
      </x:c>
      <x:c r="D191" s="10" t="n">
        <x:v>45592</x:v>
      </x:c>
      <x:c r="E191" s="10" t="n">
        <x:v>45592</x:v>
      </x:c>
      <x:c r="F191" s="10" t="n">
        <x:v>102</x:v>
      </x:c>
      <x:c r="G191" s="10" t="n">
        <x:v>1</x:v>
      </x:c>
      <x:c r="H191" s="10" t="n">
        <x:v>3</x:v>
      </x:c>
      <x:c r="I191" s="10" t="n">
        <x:v>42</x:v>
      </x:c>
      <x:c r="J191" s="10" t="n">
        <x:v>42</x:v>
      </x:c>
      <x:c r="K191" s="64" t="n">
        <x:v>2695.31</x:v>
      </x:c>
      <x:c r="L191" s="64" t="n">
        <x:v>113203</x:v>
      </x:c>
      <x:c r="M191" s="64" t="n">
        <x:v>0</x:v>
      </x:c>
      <x:c r="N191" s="64" t="n">
        <x:v>113203</x:v>
      </x:c>
      <x:c r="O191" s="64" t="n">
        <x:v>2231.98</x:v>
      </x:c>
      <x:c r="P191" s="64" t="n">
        <x:v>93743.22</x:v>
      </x:c>
      <x:c r="Q191" s="64" t="n">
        <x:v>19459.78</x:v>
      </x:c>
      <x:c r="R191" s="10" t="n">
        <x:v>8</x:v>
      </x:c>
      <x:c r="S191" s="10" t="n">
        <x:v>1</x:v>
      </x:c>
      <x:c r="T191" s="10" t="n">
        <x:v>1</x:v>
      </x:c>
      <x:c r="U191" s="10" t="str">
        <x:v>Completed</x:v>
      </x:c>
      <x:c r="V191" s="10" t="n">
        <x:v>0</x:v>
      </x:c>
      <x:c r="W191" s="10" t="str">
        <x:f>XLOOKUP(F191,'产品维表'!$A$2:$A$5,'产品维表'!$D$2:$D$5,"未映射")</x:f>
        <x:v>L</x:v>
      </x:c>
      <x:c r="X191" s="10" t="str">
        <x:f>XLOOKUP(F191,'产品维表'!$A$2:$A$5,'产品维表'!$B$2:$B$5,"未映射")</x:f>
        <x:v>L2</x:v>
      </x:c>
      <x:c r="Y191" s="10" t="str">
        <x:f>XLOOKUP(G191,'渠道维表'!$A$2:$A$4,'渠道维表'!$B$2:$B$4,"未映射")</x:f>
        <x:v>线上直营</x:v>
      </x:c>
      <x:c r="Z191" s="10" t="str">
        <x:f>XLOOKUP(H191,'区域维表'!$A$2:$A$5,'区域维表'!$B$2:$B$5,"未映射")</x:f>
        <x:v>华北</x:v>
      </x:c>
      <x:c r="AA191" s="10" t="n">
        <x:f>XLOOKUP(B191,'日期维表'!$A$2:$A$43,'日期维表'!$F$2:$F$43,0)</x:f>
        <x:v>12</x:v>
      </x:c>
    </x:row>
    <x:row r="192" ht="15" hidden="0" customHeight="1">
      <x:c r="A192" s="10" t="str">
        <x:v>SO00191</x:v>
      </x:c>
      <x:c r="B192" s="10" t="n">
        <x:v>202410</x:v>
      </x:c>
      <x:c r="C192" s="10" t="n">
        <x:v>45583</x:v>
      </x:c>
      <x:c r="D192" s="10" t="n">
        <x:v>45591</x:v>
      </x:c>
      <x:c r="E192" s="10" t="n">
        <x:v>45591</x:v>
      </x:c>
      <x:c r="F192" s="10" t="n">
        <x:v>102</x:v>
      </x:c>
      <x:c r="G192" s="10" t="n">
        <x:v>3</x:v>
      </x:c>
      <x:c r="H192" s="10" t="n">
        <x:v>1</x:v>
      </x:c>
      <x:c r="I192" s="10" t="n">
        <x:v>58</x:v>
      </x:c>
      <x:c r="J192" s="10" t="n">
        <x:v>58</x:v>
      </x:c>
      <x:c r="K192" s="64" t="n">
        <x:v>2892.03</x:v>
      </x:c>
      <x:c r="L192" s="64" t="n">
        <x:v>184327.47</x:v>
      </x:c>
      <x:c r="M192" s="64" t="n">
        <x:v>16589.47</x:v>
      </x:c>
      <x:c r="N192" s="64" t="n">
        <x:v>167738</x:v>
      </x:c>
      <x:c r="O192" s="64" t="n">
        <x:v>2251.22</x:v>
      </x:c>
      <x:c r="P192" s="64" t="n">
        <x:v>130570.79</x:v>
      </x:c>
      <x:c r="Q192" s="64" t="n">
        <x:v>37167.21</x:v>
      </x:c>
      <x:c r="R192" s="10" t="n">
        <x:v>8</x:v>
      </x:c>
      <x:c r="S192" s="10" t="n">
        <x:v>1</x:v>
      </x:c>
      <x:c r="T192" s="10" t="n">
        <x:v>1</x:v>
      </x:c>
      <x:c r="U192" s="10" t="str">
        <x:v>Completed</x:v>
      </x:c>
      <x:c r="V192" s="10" t="n">
        <x:v>30</x:v>
      </x:c>
      <x:c r="W192" s="10" t="str">
        <x:f>XLOOKUP(F192,'产品维表'!$A$2:$A$5,'产品维表'!$D$2:$D$5,"未映射")</x:f>
        <x:v>L</x:v>
      </x:c>
      <x:c r="X192" s="10" t="str">
        <x:f>XLOOKUP(F192,'产品维表'!$A$2:$A$5,'产品维表'!$B$2:$B$5,"未映射")</x:f>
        <x:v>L2</x:v>
      </x:c>
      <x:c r="Y192" s="10" t="str">
        <x:f>XLOOKUP(G192,'渠道维表'!$A$2:$A$4,'渠道维表'!$B$2:$B$4,"未映射")</x:f>
        <x:v>区域经销</x:v>
      </x:c>
      <x:c r="Z192" s="10" t="str">
        <x:f>XLOOKUP(H192,'区域维表'!$A$2:$A$5,'区域维表'!$B$2:$B$5,"未映射")</x:f>
        <x:v>华东</x:v>
      </x:c>
      <x:c r="AA192" s="10" t="n">
        <x:f>XLOOKUP(B192,'日期维表'!$A$2:$A$43,'日期维表'!$F$2:$F$43,0)</x:f>
        <x:v>12</x:v>
      </x:c>
    </x:row>
    <x:row r="193" ht="15" hidden="0" customHeight="1">
      <x:c r="A193" s="10" t="str">
        <x:v>SO00192</x:v>
      </x:c>
      <x:c r="B193" s="10" t="n">
        <x:v>202410</x:v>
      </x:c>
      <x:c r="C193" s="10" t="n">
        <x:v>45576</x:v>
      </x:c>
      <x:c r="D193" s="10" t="n">
        <x:v>45585</x:v>
      </x:c>
      <x:c r="E193" s="10" t="n">
        <x:v>45585</x:v>
      </x:c>
      <x:c r="F193" s="10" t="n">
        <x:v>102</x:v>
      </x:c>
      <x:c r="G193" s="10" t="n">
        <x:v>2</x:v>
      </x:c>
      <x:c r="H193" s="10" t="n">
        <x:v>3</x:v>
      </x:c>
      <x:c r="I193" s="10" t="n">
        <x:v>26</x:v>
      </x:c>
      <x:c r="J193" s="10" t="n">
        <x:v>26</x:v>
      </x:c>
      <x:c r="K193" s="64" t="n">
        <x:v>2726</x:v>
      </x:c>
      <x:c r="L193" s="64" t="n">
        <x:v>73068.04</x:v>
      </x:c>
      <x:c r="M193" s="64" t="n">
        <x:v>2192.04</x:v>
      </x:c>
      <x:c r="N193" s="64" t="n">
        <x:v>70876</x:v>
      </x:c>
      <x:c r="O193" s="64" t="n">
        <x:v>2220.9</x:v>
      </x:c>
      <x:c r="P193" s="64" t="n">
        <x:v>57743.28</x:v>
      </x:c>
      <x:c r="Q193" s="64" t="n">
        <x:v>13132.72</x:v>
      </x:c>
      <x:c r="R193" s="10" t="n">
        <x:v>9</x:v>
      </x:c>
      <x:c r="S193" s="10" t="n">
        <x:v>1</x:v>
      </x:c>
      <x:c r="T193" s="10" t="n">
        <x:v>1</x:v>
      </x:c>
      <x:c r="U193" s="10" t="str">
        <x:v>Completed</x:v>
      </x:c>
      <x:c r="V193" s="10" t="n">
        <x:v>15</x:v>
      </x:c>
      <x:c r="W193" s="10" t="str">
        <x:f>XLOOKUP(F193,'产品维表'!$A$2:$A$5,'产品维表'!$D$2:$D$5,"未映射")</x:f>
        <x:v>L</x:v>
      </x:c>
      <x:c r="X193" s="10" t="str">
        <x:f>XLOOKUP(F193,'产品维表'!$A$2:$A$5,'产品维表'!$B$2:$B$5,"未映射")</x:f>
        <x:v>L2</x:v>
      </x:c>
      <x:c r="Y193" s="10" t="str">
        <x:f>XLOOKUP(G193,'渠道维表'!$A$2:$A$4,'渠道维表'!$B$2:$B$4,"未映射")</x:f>
        <x:v>线下零售</x:v>
      </x:c>
      <x:c r="Z193" s="10" t="str">
        <x:f>XLOOKUP(H193,'区域维表'!$A$2:$A$5,'区域维表'!$B$2:$B$5,"未映射")</x:f>
        <x:v>华北</x:v>
      </x:c>
      <x:c r="AA193" s="10" t="n">
        <x:f>XLOOKUP(B193,'日期维表'!$A$2:$A$43,'日期维表'!$F$2:$F$43,0)</x:f>
        <x:v>12</x:v>
      </x:c>
    </x:row>
    <x:row r="194" ht="15" hidden="0" customHeight="1">
      <x:c r="A194" s="10" t="str">
        <x:v>SO00193</x:v>
      </x:c>
      <x:c r="B194" s="10" t="n">
        <x:v>202411</x:v>
      </x:c>
      <x:c r="C194" s="10" t="n">
        <x:v>45605</x:v>
      </x:c>
      <x:c r="D194" s="10" t="n">
        <x:v>45613</x:v>
      </x:c>
      <x:c r="E194" s="10" t="n">
        <x:v>45613</x:v>
      </x:c>
      <x:c r="F194" s="10" t="n">
        <x:v>101</x:v>
      </x:c>
      <x:c r="G194" s="10" t="n">
        <x:v>2</x:v>
      </x:c>
      <x:c r="H194" s="10" t="n">
        <x:v>2</x:v>
      </x:c>
      <x:c r="I194" s="10" t="n">
        <x:v>64</x:v>
      </x:c>
      <x:c r="J194" s="10" t="n">
        <x:v>64</x:v>
      </x:c>
      <x:c r="K194" s="64" t="n">
        <x:v>2828.92</x:v>
      </x:c>
      <x:c r="L194" s="64" t="n">
        <x:v>186650.52</x:v>
      </x:c>
      <x:c r="M194" s="64" t="n">
        <x:v>5599.52</x:v>
      </x:c>
      <x:c r="N194" s="64" t="n">
        <x:v>181051</x:v>
      </x:c>
      <x:c r="O194" s="64" t="n">
        <x:v>1795.71</x:v>
      </x:c>
      <x:c r="P194" s="64" t="n">
        <x:v>114925.63</x:v>
      </x:c>
      <x:c r="Q194" s="64" t="n">
        <x:v>66125.37</x:v>
      </x:c>
      <x:c r="R194" s="10" t="n">
        <x:v>8</x:v>
      </x:c>
      <x:c r="S194" s="10" t="n">
        <x:v>1</x:v>
      </x:c>
      <x:c r="T194" s="10" t="n">
        <x:v>1</x:v>
      </x:c>
      <x:c r="U194" s="10" t="str">
        <x:v>Completed</x:v>
      </x:c>
      <x:c r="V194" s="10" t="n">
        <x:v>15</x:v>
      </x:c>
      <x:c r="W194" s="10" t="str">
        <x:f>XLOOKUP(F194,'产品维表'!$A$2:$A$5,'产品维表'!$D$2:$D$5,"未映射")</x:f>
        <x:v>L</x:v>
      </x:c>
      <x:c r="X194" s="10" t="str">
        <x:f>XLOOKUP(F194,'产品维表'!$A$2:$A$5,'产品维表'!$B$2:$B$5,"未映射")</x:f>
        <x:v>L1</x:v>
      </x:c>
      <x:c r="Y194" s="10" t="str">
        <x:f>XLOOKUP(G194,'渠道维表'!$A$2:$A$4,'渠道维表'!$B$2:$B$4,"未映射")</x:f>
        <x:v>线下零售</x:v>
      </x:c>
      <x:c r="Z194" s="10" t="str">
        <x:f>XLOOKUP(H194,'区域维表'!$A$2:$A$5,'区域维表'!$B$2:$B$5,"未映射")</x:f>
        <x:v>华南</x:v>
      </x:c>
      <x:c r="AA194" s="10" t="n">
        <x:f>XLOOKUP(B194,'日期维表'!$A$2:$A$43,'日期维表'!$F$2:$F$43,0)</x:f>
        <x:v>12</x:v>
      </x:c>
    </x:row>
    <x:row r="195" ht="15" hidden="0" customHeight="1">
      <x:c r="A195" s="10" t="str">
        <x:v>SO00194</x:v>
      </x:c>
      <x:c r="B195" s="10" t="n">
        <x:v>202411</x:v>
      </x:c>
      <x:c r="C195" s="10" t="n">
        <x:v>45619</x:v>
      </x:c>
      <x:c r="D195" s="10" t="n">
        <x:v>45629</x:v>
      </x:c>
      <x:c r="E195" s="10" t="n">
        <x:v>45629</x:v>
      </x:c>
      <x:c r="F195" s="10" t="n">
        <x:v>102</x:v>
      </x:c>
      <x:c r="G195" s="10" t="n">
        <x:v>1</x:v>
      </x:c>
      <x:c r="H195" s="10" t="n">
        <x:v>3</x:v>
      </x:c>
      <x:c r="I195" s="10" t="n">
        <x:v>44</x:v>
      </x:c>
      <x:c r="J195" s="10" t="n">
        <x:v>44</x:v>
      </x:c>
      <x:c r="K195" s="64" t="n">
        <x:v>2638.43</x:v>
      </x:c>
      <x:c r="L195" s="64" t="n">
        <x:v>116091</x:v>
      </x:c>
      <x:c r="M195" s="64" t="n">
        <x:v>0</x:v>
      </x:c>
      <x:c r="N195" s="64" t="n">
        <x:v>116091</x:v>
      </x:c>
      <x:c r="O195" s="64" t="n">
        <x:v>2244.3</x:v>
      </x:c>
      <x:c r="P195" s="64" t="n">
        <x:v>98749</x:v>
      </x:c>
      <x:c r="Q195" s="64" t="n">
        <x:v>17342</x:v>
      </x:c>
      <x:c r="R195" s="10" t="n">
        <x:v>10</x:v>
      </x:c>
      <x:c r="S195" s="10" t="n">
        <x:v>1</x:v>
      </x:c>
      <x:c r="T195" s="10" t="n">
        <x:v>1</x:v>
      </x:c>
      <x:c r="U195" s="10" t="str">
        <x:v>Completed</x:v>
      </x:c>
      <x:c r="V195" s="10" t="n">
        <x:v>0</x:v>
      </x:c>
      <x:c r="W195" s="10" t="str">
        <x:f>XLOOKUP(F195,'产品维表'!$A$2:$A$5,'产品维表'!$D$2:$D$5,"未映射")</x:f>
        <x:v>L</x:v>
      </x:c>
      <x:c r="X195" s="10" t="str">
        <x:f>XLOOKUP(F195,'产品维表'!$A$2:$A$5,'产品维表'!$B$2:$B$5,"未映射")</x:f>
        <x:v>L2</x:v>
      </x:c>
      <x:c r="Y195" s="10" t="str">
        <x:f>XLOOKUP(G195,'渠道维表'!$A$2:$A$4,'渠道维表'!$B$2:$B$4,"未映射")</x:f>
        <x:v>线上直营</x:v>
      </x:c>
      <x:c r="Z195" s="10" t="str">
        <x:f>XLOOKUP(H195,'区域维表'!$A$2:$A$5,'区域维表'!$B$2:$B$5,"未映射")</x:f>
        <x:v>华北</x:v>
      </x:c>
      <x:c r="AA195" s="10" t="n">
        <x:f>XLOOKUP(B195,'日期维表'!$A$2:$A$43,'日期维表'!$F$2:$F$43,0)</x:f>
        <x:v>12</x:v>
      </x:c>
    </x:row>
    <x:row r="196" ht="15" hidden="0" customHeight="1">
      <x:c r="A196" s="10" t="str">
        <x:v>SO00195</x:v>
      </x:c>
      <x:c r="B196" s="10" t="n">
        <x:v>202411</x:v>
      </x:c>
      <x:c r="C196" s="10" t="n">
        <x:v>45612</x:v>
      </x:c>
      <x:c r="D196" s="10" t="n">
        <x:v>45623</x:v>
      </x:c>
      <x:c r="E196" s="10" t="n">
        <x:v>45625</x:v>
      </x:c>
      <x:c r="F196" s="10" t="n">
        <x:v>102</x:v>
      </x:c>
      <x:c r="G196" s="10" t="n">
        <x:v>1</x:v>
      </x:c>
      <x:c r="H196" s="10" t="n">
        <x:v>3</x:v>
      </x:c>
      <x:c r="I196" s="10" t="n">
        <x:v>36</x:v>
      </x:c>
      <x:c r="J196" s="10" t="n">
        <x:v>36</x:v>
      </x:c>
      <x:c r="K196" s="64" t="n">
        <x:v>2834.06</x:v>
      </x:c>
      <x:c r="L196" s="64" t="n">
        <x:v>102026</x:v>
      </x:c>
      <x:c r="M196" s="64" t="n">
        <x:v>0</x:v>
      </x:c>
      <x:c r="N196" s="64" t="n">
        <x:v>102026</x:v>
      </x:c>
      <x:c r="O196" s="64" t="n">
        <x:v>2269.65</x:v>
      </x:c>
      <x:c r="P196" s="64" t="n">
        <x:v>81707.29</x:v>
      </x:c>
      <x:c r="Q196" s="64" t="n">
        <x:v>20318.71</x:v>
      </x:c>
      <x:c r="R196" s="10" t="n">
        <x:v>13</x:v>
      </x:c>
      <x:c r="S196" s="10" t="n">
        <x:v>0</x:v>
      </x:c>
      <x:c r="T196" s="10" t="n">
        <x:v>1</x:v>
      </x:c>
      <x:c r="U196" s="10" t="str">
        <x:v>Completed</x:v>
      </x:c>
      <x:c r="V196" s="10" t="n">
        <x:v>0</x:v>
      </x:c>
      <x:c r="W196" s="10" t="str">
        <x:f>XLOOKUP(F196,'产品维表'!$A$2:$A$5,'产品维表'!$D$2:$D$5,"未映射")</x:f>
        <x:v>L</x:v>
      </x:c>
      <x:c r="X196" s="10" t="str">
        <x:f>XLOOKUP(F196,'产品维表'!$A$2:$A$5,'产品维表'!$B$2:$B$5,"未映射")</x:f>
        <x:v>L2</x:v>
      </x:c>
      <x:c r="Y196" s="10" t="str">
        <x:f>XLOOKUP(G196,'渠道维表'!$A$2:$A$4,'渠道维表'!$B$2:$B$4,"未映射")</x:f>
        <x:v>线上直营</x:v>
      </x:c>
      <x:c r="Z196" s="10" t="str">
        <x:f>XLOOKUP(H196,'区域维表'!$A$2:$A$5,'区域维表'!$B$2:$B$5,"未映射")</x:f>
        <x:v>华北</x:v>
      </x:c>
      <x:c r="AA196" s="10" t="n">
        <x:f>XLOOKUP(B196,'日期维表'!$A$2:$A$43,'日期维表'!$F$2:$F$43,0)</x:f>
        <x:v>12</x:v>
      </x:c>
    </x:row>
    <x:row r="197" ht="15" hidden="0" customHeight="1">
      <x:c r="A197" s="10" t="str">
        <x:v>SO00196</x:v>
      </x:c>
      <x:c r="B197" s="10" t="n">
        <x:v>202411</x:v>
      </x:c>
      <x:c r="C197" s="10" t="n">
        <x:v>45613</x:v>
      </x:c>
      <x:c r="D197" s="10" t="n">
        <x:v>45621</x:v>
      </x:c>
      <x:c r="E197" s="10" t="n">
        <x:v>45621</x:v>
      </x:c>
      <x:c r="F197" s="10" t="n">
        <x:v>102</x:v>
      </x:c>
      <x:c r="G197" s="10" t="n">
        <x:v>1</x:v>
      </x:c>
      <x:c r="H197" s="10" t="n">
        <x:v>1</x:v>
      </x:c>
      <x:c r="I197" s="10" t="n">
        <x:v>26</x:v>
      </x:c>
      <x:c r="J197" s="10" t="n">
        <x:v>26</x:v>
      </x:c>
      <x:c r="K197" s="64" t="n">
        <x:v>2626.23</x:v>
      </x:c>
      <x:c r="L197" s="64" t="n">
        <x:v>68282</x:v>
      </x:c>
      <x:c r="M197" s="64" t="n">
        <x:v>0</x:v>
      </x:c>
      <x:c r="N197" s="64" t="n">
        <x:v>68282</x:v>
      </x:c>
      <x:c r="O197" s="64" t="n">
        <x:v>1762.7</x:v>
      </x:c>
      <x:c r="P197" s="64" t="n">
        <x:v>45830.14</x:v>
      </x:c>
      <x:c r="Q197" s="64" t="n">
        <x:v>22451.86</x:v>
      </x:c>
      <x:c r="R197" s="10" t="n">
        <x:v>8</x:v>
      </x:c>
      <x:c r="S197" s="10" t="n">
        <x:v>1</x:v>
      </x:c>
      <x:c r="T197" s="10" t="n">
        <x:v>1</x:v>
      </x:c>
      <x:c r="U197" s="10" t="str">
        <x:v>Completed</x:v>
      </x:c>
      <x:c r="V197" s="10" t="n">
        <x:v>0</x:v>
      </x:c>
      <x:c r="W197" s="10" t="str">
        <x:f>XLOOKUP(F197,'产品维表'!$A$2:$A$5,'产品维表'!$D$2:$D$5,"未映射")</x:f>
        <x:v>L</x:v>
      </x:c>
      <x:c r="X197" s="10" t="str">
        <x:f>XLOOKUP(F197,'产品维表'!$A$2:$A$5,'产品维表'!$B$2:$B$5,"未映射")</x:f>
        <x:v>L2</x:v>
      </x:c>
      <x:c r="Y197" s="10" t="str">
        <x:f>XLOOKUP(G197,'渠道维表'!$A$2:$A$4,'渠道维表'!$B$2:$B$4,"未映射")</x:f>
        <x:v>线上直营</x:v>
      </x:c>
      <x:c r="Z197" s="10" t="str">
        <x:f>XLOOKUP(H197,'区域维表'!$A$2:$A$5,'区域维表'!$B$2:$B$5,"未映射")</x:f>
        <x:v>华东</x:v>
      </x:c>
      <x:c r="AA197" s="10" t="n">
        <x:f>XLOOKUP(B197,'日期维表'!$A$2:$A$43,'日期维表'!$F$2:$F$43,0)</x:f>
        <x:v>12</x:v>
      </x:c>
    </x:row>
    <x:row r="198" ht="15" hidden="0" customHeight="1">
      <x:c r="A198" s="10" t="str">
        <x:v>SO00197</x:v>
      </x:c>
      <x:c r="B198" s="10" t="n">
        <x:v>202411</x:v>
      </x:c>
      <x:c r="C198" s="10" t="n">
        <x:v>45613</x:v>
      </x:c>
      <x:c r="D198" s="10" t="n">
        <x:v>45622</x:v>
      </x:c>
      <x:c r="E198" s="10" t="n">
        <x:v>45622</x:v>
      </x:c>
      <x:c r="F198" s="10" t="n">
        <x:v>101</x:v>
      </x:c>
      <x:c r="G198" s="10" t="n">
        <x:v>2</x:v>
      </x:c>
      <x:c r="H198" s="10" t="n">
        <x:v>4</x:v>
      </x:c>
      <x:c r="I198" s="10" t="n">
        <x:v>30</x:v>
      </x:c>
      <x:c r="J198" s="10" t="n">
        <x:v>30</x:v>
      </x:c>
      <x:c r="K198" s="64" t="n">
        <x:v>2898.8</x:v>
      </x:c>
      <x:c r="L198" s="64" t="n">
        <x:v>89653.61</x:v>
      </x:c>
      <x:c r="M198" s="64" t="n">
        <x:v>2689.61</x:v>
      </x:c>
      <x:c r="N198" s="64" t="n">
        <x:v>86964</x:v>
      </x:c>
      <x:c r="O198" s="64" t="n">
        <x:v>1819.77</x:v>
      </x:c>
      <x:c r="P198" s="64" t="n">
        <x:v>54593.1</x:v>
      </x:c>
      <x:c r="Q198" s="64" t="n">
        <x:v>32370.9</x:v>
      </x:c>
      <x:c r="R198" s="10" t="n">
        <x:v>9</x:v>
      </x:c>
      <x:c r="S198" s="10" t="n">
        <x:v>1</x:v>
      </x:c>
      <x:c r="T198" s="10" t="n">
        <x:v>1</x:v>
      </x:c>
      <x:c r="U198" s="10" t="str">
        <x:v>Completed</x:v>
      </x:c>
      <x:c r="V198" s="10" t="n">
        <x:v>15</x:v>
      </x:c>
      <x:c r="W198" s="10" t="str">
        <x:f>XLOOKUP(F198,'产品维表'!$A$2:$A$5,'产品维表'!$D$2:$D$5,"未映射")</x:f>
        <x:v>L</x:v>
      </x:c>
      <x:c r="X198" s="10" t="str">
        <x:f>XLOOKUP(F198,'产品维表'!$A$2:$A$5,'产品维表'!$B$2:$B$5,"未映射")</x:f>
        <x:v>L1</x:v>
      </x:c>
      <x:c r="Y198" s="10" t="str">
        <x:f>XLOOKUP(G198,'渠道维表'!$A$2:$A$4,'渠道维表'!$B$2:$B$4,"未映射")</x:f>
        <x:v>线下零售</x:v>
      </x:c>
      <x:c r="Z198" s="10" t="str">
        <x:f>XLOOKUP(H198,'区域维表'!$A$2:$A$5,'区域维表'!$B$2:$B$5,"未映射")</x:f>
        <x:v>中西部</x:v>
      </x:c>
      <x:c r="AA198" s="10" t="n">
        <x:f>XLOOKUP(B198,'日期维表'!$A$2:$A$43,'日期维表'!$F$2:$F$43,0)</x:f>
        <x:v>12</x:v>
      </x:c>
    </x:row>
    <x:row r="199" ht="15" hidden="0" customHeight="1">
      <x:c r="A199" s="10" t="str">
        <x:v>SO00198</x:v>
      </x:c>
      <x:c r="B199" s="10" t="n">
        <x:v>202411</x:v>
      </x:c>
      <x:c r="C199" s="10" t="n">
        <x:v>45617</x:v>
      </x:c>
      <x:c r="D199" s="10" t="n">
        <x:v>45628</x:v>
      </x:c>
      <x:c r="E199" s="10" t="n">
        <x:v>45628</x:v>
      </x:c>
      <x:c r="F199" s="10" t="n">
        <x:v>101</x:v>
      </x:c>
      <x:c r="G199" s="10" t="n">
        <x:v>2</x:v>
      </x:c>
      <x:c r="H199" s="10" t="n">
        <x:v>1</x:v>
      </x:c>
      <x:c r="I199" s="10" t="n">
        <x:v>35</x:v>
      </x:c>
      <x:c r="J199" s="10" t="n">
        <x:v>35</x:v>
      </x:c>
      <x:c r="K199" s="64" t="n">
        <x:v>2878.66</x:v>
      </x:c>
      <x:c r="L199" s="64" t="n">
        <x:v>103869.07</x:v>
      </x:c>
      <x:c r="M199" s="64" t="n">
        <x:v>3116.07</x:v>
      </x:c>
      <x:c r="N199" s="64" t="n">
        <x:v>100753</x:v>
      </x:c>
      <x:c r="O199" s="64" t="n">
        <x:v>1802.37</x:v>
      </x:c>
      <x:c r="P199" s="64" t="n">
        <x:v>63082.9</x:v>
      </x:c>
      <x:c r="Q199" s="64" t="n">
        <x:v>37670.1</x:v>
      </x:c>
      <x:c r="R199" s="10" t="n">
        <x:v>11</x:v>
      </x:c>
      <x:c r="S199" s="10" t="n">
        <x:v>1</x:v>
      </x:c>
      <x:c r="T199" s="10" t="n">
        <x:v>1</x:v>
      </x:c>
      <x:c r="U199" s="10" t="str">
        <x:v>Completed</x:v>
      </x:c>
      <x:c r="V199" s="10" t="n">
        <x:v>15</x:v>
      </x:c>
      <x:c r="W199" s="10" t="str">
        <x:f>XLOOKUP(F199,'产品维表'!$A$2:$A$5,'产品维表'!$D$2:$D$5,"未映射")</x:f>
        <x:v>L</x:v>
      </x:c>
      <x:c r="X199" s="10" t="str">
        <x:f>XLOOKUP(F199,'产品维表'!$A$2:$A$5,'产品维表'!$B$2:$B$5,"未映射")</x:f>
        <x:v>L1</x:v>
      </x:c>
      <x:c r="Y199" s="10" t="str">
        <x:f>XLOOKUP(G199,'渠道维表'!$A$2:$A$4,'渠道维表'!$B$2:$B$4,"未映射")</x:f>
        <x:v>线下零售</x:v>
      </x:c>
      <x:c r="Z199" s="10" t="str">
        <x:f>XLOOKUP(H199,'区域维表'!$A$2:$A$5,'区域维表'!$B$2:$B$5,"未映射")</x:f>
        <x:v>华东</x:v>
      </x:c>
      <x:c r="AA199" s="10" t="n">
        <x:f>XLOOKUP(B199,'日期维表'!$A$2:$A$43,'日期维表'!$F$2:$F$43,0)</x:f>
        <x:v>12</x:v>
      </x:c>
    </x:row>
    <x:row r="200" ht="15" hidden="0" customHeight="1">
      <x:c r="A200" s="10" t="str">
        <x:v>SO00199</x:v>
      </x:c>
      <x:c r="B200" s="10" t="n">
        <x:v>202411</x:v>
      </x:c>
      <x:c r="C200" s="10" t="n">
        <x:v>45607</x:v>
      </x:c>
      <x:c r="D200" s="10" t="n">
        <x:v>45613</x:v>
      </x:c>
      <x:c r="E200" s="10" t="n">
        <x:v>45616</x:v>
      </x:c>
      <x:c r="F200" s="10" t="n">
        <x:v>101</x:v>
      </x:c>
      <x:c r="G200" s="10" t="n">
        <x:v>3</x:v>
      </x:c>
      <x:c r="H200" s="10" t="n">
        <x:v>2</x:v>
      </x:c>
      <x:c r="I200" s="10" t="n">
        <x:v>57</x:v>
      </x:c>
      <x:c r="J200" s="10" t="n">
        <x:v>57</x:v>
      </x:c>
      <x:c r="K200" s="64" t="n">
        <x:v>2767.49</x:v>
      </x:c>
      <x:c r="L200" s="64" t="n">
        <x:v>173348.35</x:v>
      </x:c>
      <x:c r="M200" s="64" t="n">
        <x:v>15601.35</x:v>
      </x:c>
      <x:c r="N200" s="64" t="n">
        <x:v>157747</x:v>
      </x:c>
      <x:c r="O200" s="64" t="n">
        <x:v>1810.21</x:v>
      </x:c>
      <x:c r="P200" s="64" t="n">
        <x:v>103182.08</x:v>
      </x:c>
      <x:c r="Q200" s="64" t="n">
        <x:v>54564.92</x:v>
      </x:c>
      <x:c r="R200" s="10" t="n">
        <x:v>9</x:v>
      </x:c>
      <x:c r="S200" s="10" t="n">
        <x:v>0</x:v>
      </x:c>
      <x:c r="T200" s="10" t="n">
        <x:v>1</x:v>
      </x:c>
      <x:c r="U200" s="10" t="str">
        <x:v>Completed</x:v>
      </x:c>
      <x:c r="V200" s="10" t="n">
        <x:v>30</x:v>
      </x:c>
      <x:c r="W200" s="10" t="str">
        <x:f>XLOOKUP(F200,'产品维表'!$A$2:$A$5,'产品维表'!$D$2:$D$5,"未映射")</x:f>
        <x:v>L</x:v>
      </x:c>
      <x:c r="X200" s="10" t="str">
        <x:f>XLOOKUP(F200,'产品维表'!$A$2:$A$5,'产品维表'!$B$2:$B$5,"未映射")</x:f>
        <x:v>L1</x:v>
      </x:c>
      <x:c r="Y200" s="10" t="str">
        <x:f>XLOOKUP(G200,'渠道维表'!$A$2:$A$4,'渠道维表'!$B$2:$B$4,"未映射")</x:f>
        <x:v>区域经销</x:v>
      </x:c>
      <x:c r="Z200" s="10" t="str">
        <x:f>XLOOKUP(H200,'区域维表'!$A$2:$A$5,'区域维表'!$B$2:$B$5,"未映射")</x:f>
        <x:v>华南</x:v>
      </x:c>
      <x:c r="AA200" s="10" t="n">
        <x:f>XLOOKUP(B200,'日期维表'!$A$2:$A$43,'日期维表'!$F$2:$F$43,0)</x:f>
        <x:v>12</x:v>
      </x:c>
    </x:row>
    <x:row r="201" ht="15" hidden="0" customHeight="1">
      <x:c r="A201" s="10" t="str">
        <x:v>SO00200</x:v>
      </x:c>
      <x:c r="B201" s="10" t="n">
        <x:v>202411</x:v>
      </x:c>
      <x:c r="C201" s="10" t="n">
        <x:v>45620</x:v>
      </x:c>
      <x:c r="D201" s="10" t="n">
        <x:v>45632</x:v>
      </x:c>
      <x:c r="E201" s="10" t="n">
        <x:v>45632</x:v>
      </x:c>
      <x:c r="F201" s="10" t="n">
        <x:v>101</x:v>
      </x:c>
      <x:c r="G201" s="10" t="n">
        <x:v>1</x:v>
      </x:c>
      <x:c r="H201" s="10" t="n">
        <x:v>2</x:v>
      </x:c>
      <x:c r="I201" s="10" t="n">
        <x:v>58</x:v>
      </x:c>
      <x:c r="J201" s="10" t="n">
        <x:v>58</x:v>
      </x:c>
      <x:c r="K201" s="64" t="n">
        <x:v>2759.38</x:v>
      </x:c>
      <x:c r="L201" s="64" t="n">
        <x:v>160044</x:v>
      </x:c>
      <x:c r="M201" s="64" t="n">
        <x:v>0</x:v>
      </x:c>
      <x:c r="N201" s="64" t="n">
        <x:v>160044</x:v>
      </x:c>
      <x:c r="O201" s="64" t="n">
        <x:v>1836.62</x:v>
      </x:c>
      <x:c r="P201" s="64" t="n">
        <x:v>106524.16</x:v>
      </x:c>
      <x:c r="Q201" s="64" t="n">
        <x:v>53519.84</x:v>
      </x:c>
      <x:c r="R201" s="10" t="n">
        <x:v>12</x:v>
      </x:c>
      <x:c r="S201" s="10" t="n">
        <x:v>1</x:v>
      </x:c>
      <x:c r="T201" s="10" t="n">
        <x:v>1</x:v>
      </x:c>
      <x:c r="U201" s="10" t="str">
        <x:v>Completed</x:v>
      </x:c>
      <x:c r="V201" s="10" t="n">
        <x:v>0</x:v>
      </x:c>
      <x:c r="W201" s="10" t="str">
        <x:f>XLOOKUP(F201,'产品维表'!$A$2:$A$5,'产品维表'!$D$2:$D$5,"未映射")</x:f>
        <x:v>L</x:v>
      </x:c>
      <x:c r="X201" s="10" t="str">
        <x:f>XLOOKUP(F201,'产品维表'!$A$2:$A$5,'产品维表'!$B$2:$B$5,"未映射")</x:f>
        <x:v>L1</x:v>
      </x:c>
      <x:c r="Y201" s="10" t="str">
        <x:f>XLOOKUP(G201,'渠道维表'!$A$2:$A$4,'渠道维表'!$B$2:$B$4,"未映射")</x:f>
        <x:v>线上直营</x:v>
      </x:c>
      <x:c r="Z201" s="10" t="str">
        <x:f>XLOOKUP(H201,'区域维表'!$A$2:$A$5,'区域维表'!$B$2:$B$5,"未映射")</x:f>
        <x:v>华南</x:v>
      </x:c>
      <x:c r="AA201" s="10" t="n">
        <x:f>XLOOKUP(B201,'日期维表'!$A$2:$A$43,'日期维表'!$F$2:$F$43,0)</x:f>
        <x:v>12</x:v>
      </x:c>
    </x:row>
    <x:row r="202" ht="15" hidden="0" customHeight="1">
      <x:c r="A202" s="10" t="str">
        <x:v>SO00201</x:v>
      </x:c>
      <x:c r="B202" s="10" t="n">
        <x:v>202411</x:v>
      </x:c>
      <x:c r="C202" s="10" t="n">
        <x:v>45605</x:v>
      </x:c>
      <x:c r="D202" s="10" t="n">
        <x:v>45615</x:v>
      </x:c>
      <x:c r="E202" s="10" t="n">
        <x:v>45615</x:v>
      </x:c>
      <x:c r="F202" s="10" t="n">
        <x:v>101</x:v>
      </x:c>
      <x:c r="G202" s="10" t="n">
        <x:v>2</x:v>
      </x:c>
      <x:c r="H202" s="10" t="n">
        <x:v>1</x:v>
      </x:c>
      <x:c r="I202" s="10" t="n">
        <x:v>36</x:v>
      </x:c>
      <x:c r="J202" s="10" t="n">
        <x:v>36</x:v>
      </x:c>
      <x:c r="K202" s="64" t="n">
        <x:v>2584.33</x:v>
      </x:c>
      <x:c r="L202" s="64" t="n">
        <x:v>95913.4</x:v>
      </x:c>
      <x:c r="M202" s="64" t="n">
        <x:v>2877.4</x:v>
      </x:c>
      <x:c r="N202" s="64" t="n">
        <x:v>93036</x:v>
      </x:c>
      <x:c r="O202" s="64" t="n">
        <x:v>1832.38</x:v>
      </x:c>
      <x:c r="P202" s="64" t="n">
        <x:v>65965.67</x:v>
      </x:c>
      <x:c r="Q202" s="64" t="n">
        <x:v>27070.33</x:v>
      </x:c>
      <x:c r="R202" s="10" t="n">
        <x:v>10</x:v>
      </x:c>
      <x:c r="S202" s="10" t="n">
        <x:v>1</x:v>
      </x:c>
      <x:c r="T202" s="10" t="n">
        <x:v>1</x:v>
      </x:c>
      <x:c r="U202" s="10" t="str">
        <x:v>Completed</x:v>
      </x:c>
      <x:c r="V202" s="10" t="n">
        <x:v>15</x:v>
      </x:c>
      <x:c r="W202" s="10" t="str">
        <x:f>XLOOKUP(F202,'产品维表'!$A$2:$A$5,'产品维表'!$D$2:$D$5,"未映射")</x:f>
        <x:v>L</x:v>
      </x:c>
      <x:c r="X202" s="10" t="str">
        <x:f>XLOOKUP(F202,'产品维表'!$A$2:$A$5,'产品维表'!$B$2:$B$5,"未映射")</x:f>
        <x:v>L1</x:v>
      </x:c>
      <x:c r="Y202" s="10" t="str">
        <x:f>XLOOKUP(G202,'渠道维表'!$A$2:$A$4,'渠道维表'!$B$2:$B$4,"未映射")</x:f>
        <x:v>线下零售</x:v>
      </x:c>
      <x:c r="Z202" s="10" t="str">
        <x:f>XLOOKUP(H202,'区域维表'!$A$2:$A$5,'区域维表'!$B$2:$B$5,"未映射")</x:f>
        <x:v>华东</x:v>
      </x:c>
      <x:c r="AA202" s="10" t="n">
        <x:f>XLOOKUP(B202,'日期维表'!$A$2:$A$43,'日期维表'!$F$2:$F$43,0)</x:f>
        <x:v>12</x:v>
      </x:c>
    </x:row>
    <x:row r="203" ht="15" hidden="0" customHeight="1">
      <x:c r="A203" s="10" t="str">
        <x:v>SO00202</x:v>
      </x:c>
      <x:c r="B203" s="10" t="n">
        <x:v>202411</x:v>
      </x:c>
      <x:c r="C203" s="10" t="n">
        <x:v>45611</x:v>
      </x:c>
      <x:c r="D203" s="10" t="n">
        <x:v>45622</x:v>
      </x:c>
      <x:c r="E203" s="10" t="n">
        <x:v>45622</x:v>
      </x:c>
      <x:c r="F203" s="10" t="n">
        <x:v>102</x:v>
      </x:c>
      <x:c r="G203" s="10" t="n">
        <x:v>3</x:v>
      </x:c>
      <x:c r="H203" s="10" t="n">
        <x:v>1</x:v>
      </x:c>
      <x:c r="I203" s="10" t="n">
        <x:v>28</x:v>
      </x:c>
      <x:c r="J203" s="10" t="n">
        <x:v>28</x:v>
      </x:c>
      <x:c r="K203" s="64" t="n">
        <x:v>2651.11</x:v>
      </x:c>
      <x:c r="L203" s="64" t="n">
        <x:v>81572.53</x:v>
      </x:c>
      <x:c r="M203" s="64" t="n">
        <x:v>7341.53</x:v>
      </x:c>
      <x:c r="N203" s="64" t="n">
        <x:v>74231</x:v>
      </x:c>
      <x:c r="O203" s="64" t="n">
        <x:v>2243.41</x:v>
      </x:c>
      <x:c r="P203" s="64" t="n">
        <x:v>62815.46</x:v>
      </x:c>
      <x:c r="Q203" s="64" t="n">
        <x:v>11415.54</x:v>
      </x:c>
      <x:c r="R203" s="10" t="n">
        <x:v>11</x:v>
      </x:c>
      <x:c r="S203" s="10" t="n">
        <x:v>1</x:v>
      </x:c>
      <x:c r="T203" s="10" t="n">
        <x:v>1</x:v>
      </x:c>
      <x:c r="U203" s="10" t="str">
        <x:v>Completed</x:v>
      </x:c>
      <x:c r="V203" s="10" t="n">
        <x:v>30</x:v>
      </x:c>
      <x:c r="W203" s="10" t="str">
        <x:f>XLOOKUP(F203,'产品维表'!$A$2:$A$5,'产品维表'!$D$2:$D$5,"未映射")</x:f>
        <x:v>L</x:v>
      </x:c>
      <x:c r="X203" s="10" t="str">
        <x:f>XLOOKUP(F203,'产品维表'!$A$2:$A$5,'产品维表'!$B$2:$B$5,"未映射")</x:f>
        <x:v>L2</x:v>
      </x:c>
      <x:c r="Y203" s="10" t="str">
        <x:f>XLOOKUP(G203,'渠道维表'!$A$2:$A$4,'渠道维表'!$B$2:$B$4,"未映射")</x:f>
        <x:v>区域经销</x:v>
      </x:c>
      <x:c r="Z203" s="10" t="str">
        <x:f>XLOOKUP(H203,'区域维表'!$A$2:$A$5,'区域维表'!$B$2:$B$5,"未映射")</x:f>
        <x:v>华东</x:v>
      </x:c>
      <x:c r="AA203" s="10" t="n">
        <x:f>XLOOKUP(B203,'日期维表'!$A$2:$A$43,'日期维表'!$F$2:$F$43,0)</x:f>
        <x:v>12</x:v>
      </x:c>
    </x:row>
    <x:row r="204" ht="15" hidden="0" customHeight="1">
      <x:c r="A204" s="10" t="str">
        <x:v>SO00203</x:v>
      </x:c>
      <x:c r="B204" s="10" t="n">
        <x:v>202412</x:v>
      </x:c>
      <x:c r="C204" s="10" t="n">
        <x:v>45641</x:v>
      </x:c>
      <x:c r="D204" s="10" t="n">
        <x:v>45653</x:v>
      </x:c>
      <x:c r="E204" s="10" t="n">
        <x:v>45658</x:v>
      </x:c>
      <x:c r="F204" s="10" t="n">
        <x:v>101</x:v>
      </x:c>
      <x:c r="G204" s="10" t="n">
        <x:v>3</x:v>
      </x:c>
      <x:c r="H204" s="10" t="n">
        <x:v>4</x:v>
      </x:c>
      <x:c r="I204" s="10" t="n">
        <x:v>31</x:v>
      </x:c>
      <x:c r="J204" s="10" t="n">
        <x:v>31</x:v>
      </x:c>
      <x:c r="K204" s="64" t="n">
        <x:v>2887.65</x:v>
      </x:c>
      <x:c r="L204" s="64" t="n">
        <x:v>98370.33</x:v>
      </x:c>
      <x:c r="M204" s="64" t="n">
        <x:v>8853.33</x:v>
      </x:c>
      <x:c r="N204" s="64" t="n">
        <x:v>89517</x:v>
      </x:c>
      <x:c r="O204" s="64" t="n">
        <x:v>1871.08</x:v>
      </x:c>
      <x:c r="P204" s="64" t="n">
        <x:v>58003.43</x:v>
      </x:c>
      <x:c r="Q204" s="64" t="n">
        <x:v>31513.57</x:v>
      </x:c>
      <x:c r="R204" s="10" t="n">
        <x:v>17</x:v>
      </x:c>
      <x:c r="S204" s="10" t="n">
        <x:v>0</x:v>
      </x:c>
      <x:c r="T204" s="10" t="n">
        <x:v>1</x:v>
      </x:c>
      <x:c r="U204" s="10" t="str">
        <x:v>Completed</x:v>
      </x:c>
      <x:c r="V204" s="10" t="n">
        <x:v>30</x:v>
      </x:c>
      <x:c r="W204" s="10" t="str">
        <x:f>XLOOKUP(F204,'产品维表'!$A$2:$A$5,'产品维表'!$D$2:$D$5,"未映射")</x:f>
        <x:v>L</x:v>
      </x:c>
      <x:c r="X204" s="10" t="str">
        <x:f>XLOOKUP(F204,'产品维表'!$A$2:$A$5,'产品维表'!$B$2:$B$5,"未映射")</x:f>
        <x:v>L1</x:v>
      </x:c>
      <x:c r="Y204" s="10" t="str">
        <x:f>XLOOKUP(G204,'渠道维表'!$A$2:$A$4,'渠道维表'!$B$2:$B$4,"未映射")</x:f>
        <x:v>区域经销</x:v>
      </x:c>
      <x:c r="Z204" s="10" t="str">
        <x:f>XLOOKUP(H204,'区域维表'!$A$2:$A$5,'区域维表'!$B$2:$B$5,"未映射")</x:f>
        <x:v>中西部</x:v>
      </x:c>
      <x:c r="AA204" s="10" t="n">
        <x:f>XLOOKUP(B204,'日期维表'!$A$2:$A$43,'日期维表'!$F$2:$F$43,0)</x:f>
        <x:v>12</x:v>
      </x:c>
    </x:row>
    <x:row r="205" ht="15" hidden="0" customHeight="1">
      <x:c r="A205" s="10" t="str">
        <x:v>SO00204</x:v>
      </x:c>
      <x:c r="B205" s="10" t="n">
        <x:v>202412</x:v>
      </x:c>
      <x:c r="C205" s="10" t="n">
        <x:v>45632</x:v>
      </x:c>
      <x:c r="D205" s="10" t="n">
        <x:v>45642</x:v>
      </x:c>
      <x:c r="E205" s="10" t="n">
        <x:v>45642</x:v>
      </x:c>
      <x:c r="F205" s="10" t="n">
        <x:v>102</x:v>
      </x:c>
      <x:c r="G205" s="10" t="n">
        <x:v>2</x:v>
      </x:c>
      <x:c r="H205" s="10" t="n">
        <x:v>2</x:v>
      </x:c>
      <x:c r="I205" s="10" t="n">
        <x:v>37</x:v>
      </x:c>
      <x:c r="J205" s="10" t="n">
        <x:v>37</x:v>
      </x:c>
      <x:c r="K205" s="64" t="n">
        <x:v>2670.11</x:v>
      </x:c>
      <x:c r="L205" s="64" t="n">
        <x:v>101849.48</x:v>
      </x:c>
      <x:c r="M205" s="64" t="n">
        <x:v>3055.48</x:v>
      </x:c>
      <x:c r="N205" s="64" t="n">
        <x:v>98794</x:v>
      </x:c>
      <x:c r="O205" s="64" t="n">
        <x:v>2220.82</x:v>
      </x:c>
      <x:c r="P205" s="64" t="n">
        <x:v>82170.38</x:v>
      </x:c>
      <x:c r="Q205" s="64" t="n">
        <x:v>16623.62</x:v>
      </x:c>
      <x:c r="R205" s="10" t="n">
        <x:v>10</x:v>
      </x:c>
      <x:c r="S205" s="10" t="n">
        <x:v>1</x:v>
      </x:c>
      <x:c r="T205" s="10" t="n">
        <x:v>1</x:v>
      </x:c>
      <x:c r="U205" s="10" t="str">
        <x:v>Completed</x:v>
      </x:c>
      <x:c r="V205" s="10" t="n">
        <x:v>15</x:v>
      </x:c>
      <x:c r="W205" s="10" t="str">
        <x:f>XLOOKUP(F205,'产品维表'!$A$2:$A$5,'产品维表'!$D$2:$D$5,"未映射")</x:f>
        <x:v>L</x:v>
      </x:c>
      <x:c r="X205" s="10" t="str">
        <x:f>XLOOKUP(F205,'产品维表'!$A$2:$A$5,'产品维表'!$B$2:$B$5,"未映射")</x:f>
        <x:v>L2</x:v>
      </x:c>
      <x:c r="Y205" s="10" t="str">
        <x:f>XLOOKUP(G205,'渠道维表'!$A$2:$A$4,'渠道维表'!$B$2:$B$4,"未映射")</x:f>
        <x:v>线下零售</x:v>
      </x:c>
      <x:c r="Z205" s="10" t="str">
        <x:f>XLOOKUP(H205,'区域维表'!$A$2:$A$5,'区域维表'!$B$2:$B$5,"未映射")</x:f>
        <x:v>华南</x:v>
      </x:c>
      <x:c r="AA205" s="10" t="n">
        <x:f>XLOOKUP(B205,'日期维表'!$A$2:$A$43,'日期维表'!$F$2:$F$43,0)</x:f>
        <x:v>12</x:v>
      </x:c>
    </x:row>
    <x:row r="206" ht="15" hidden="0" customHeight="1">
      <x:c r="A206" s="10" t="str">
        <x:v>SO00205</x:v>
      </x:c>
      <x:c r="B206" s="10" t="n">
        <x:v>202412</x:v>
      </x:c>
      <x:c r="C206" s="10" t="n">
        <x:v>45642</x:v>
      </x:c>
      <x:c r="D206" s="10" t="n">
        <x:v>45654</x:v>
      </x:c>
      <x:c r="E206" s="10" t="n">
        <x:v>45654</x:v>
      </x:c>
      <x:c r="F206" s="10" t="n">
        <x:v>101</x:v>
      </x:c>
      <x:c r="G206" s="10" t="n">
        <x:v>1</x:v>
      </x:c>
      <x:c r="H206" s="10" t="n">
        <x:v>1</x:v>
      </x:c>
      <x:c r="I206" s="10" t="n">
        <x:v>21</x:v>
      </x:c>
      <x:c r="J206" s="10" t="n">
        <x:v>21</x:v>
      </x:c>
      <x:c r="K206" s="64" t="n">
        <x:v>2742.19</x:v>
      </x:c>
      <x:c r="L206" s="64" t="n">
        <x:v>57586</x:v>
      </x:c>
      <x:c r="M206" s="64" t="n">
        <x:v>0</x:v>
      </x:c>
      <x:c r="N206" s="64" t="n">
        <x:v>57586</x:v>
      </x:c>
      <x:c r="O206" s="64" t="n">
        <x:v>1867.93</x:v>
      </x:c>
      <x:c r="P206" s="64" t="n">
        <x:v>39226.48</x:v>
      </x:c>
      <x:c r="Q206" s="64" t="n">
        <x:v>18359.52</x:v>
      </x:c>
      <x:c r="R206" s="10" t="n">
        <x:v>12</x:v>
      </x:c>
      <x:c r="S206" s="10" t="n">
        <x:v>1</x:v>
      </x:c>
      <x:c r="T206" s="10" t="n">
        <x:v>1</x:v>
      </x:c>
      <x:c r="U206" s="10" t="str">
        <x:v>Completed</x:v>
      </x:c>
      <x:c r="V206" s="10" t="n">
        <x:v>0</x:v>
      </x:c>
      <x:c r="W206" s="10" t="str">
        <x:f>XLOOKUP(F206,'产品维表'!$A$2:$A$5,'产品维表'!$D$2:$D$5,"未映射")</x:f>
        <x:v>L</x:v>
      </x:c>
      <x:c r="X206" s="10" t="str">
        <x:f>XLOOKUP(F206,'产品维表'!$A$2:$A$5,'产品维表'!$B$2:$B$5,"未映射")</x:f>
        <x:v>L1</x:v>
      </x:c>
      <x:c r="Y206" s="10" t="str">
        <x:f>XLOOKUP(G206,'渠道维表'!$A$2:$A$4,'渠道维表'!$B$2:$B$4,"未映射")</x:f>
        <x:v>线上直营</x:v>
      </x:c>
      <x:c r="Z206" s="10" t="str">
        <x:f>XLOOKUP(H206,'区域维表'!$A$2:$A$5,'区域维表'!$B$2:$B$5,"未映射")</x:f>
        <x:v>华东</x:v>
      </x:c>
      <x:c r="AA206" s="10" t="n">
        <x:f>XLOOKUP(B206,'日期维表'!$A$2:$A$43,'日期维表'!$F$2:$F$43,0)</x:f>
        <x:v>12</x:v>
      </x:c>
    </x:row>
    <x:row r="207" ht="15" hidden="0" customHeight="1">
      <x:c r="A207" s="10" t="str">
        <x:v>SO00206</x:v>
      </x:c>
      <x:c r="B207" s="10" t="n">
        <x:v>202412</x:v>
      </x:c>
      <x:c r="C207" s="10" t="n">
        <x:v>45635</x:v>
      </x:c>
      <x:c r="D207" s="10" t="n">
        <x:v>45645</x:v>
      </x:c>
      <x:c r="E207" s="10" t="n">
        <x:v>45645</x:v>
      </x:c>
      <x:c r="F207" s="10" t="n">
        <x:v>101</x:v>
      </x:c>
      <x:c r="G207" s="10" t="n">
        <x:v>3</x:v>
      </x:c>
      <x:c r="H207" s="10" t="n">
        <x:v>3</x:v>
      </x:c>
      <x:c r="I207" s="10" t="n">
        <x:v>47</x:v>
      </x:c>
      <x:c r="J207" s="10" t="n">
        <x:v>47</x:v>
      </x:c>
      <x:c r="K207" s="64" t="n">
        <x:v>2807.53</x:v>
      </x:c>
      <x:c r="L207" s="64" t="n">
        <x:v>145004.4</x:v>
      </x:c>
      <x:c r="M207" s="64" t="n">
        <x:v>13050.4</x:v>
      </x:c>
      <x:c r="N207" s="64" t="n">
        <x:v>131954</x:v>
      </x:c>
      <x:c r="O207" s="64" t="n">
        <x:v>1873.91</x:v>
      </x:c>
      <x:c r="P207" s="64" t="n">
        <x:v>88073.98</x:v>
      </x:c>
      <x:c r="Q207" s="64" t="n">
        <x:v>43880.02</x:v>
      </x:c>
      <x:c r="R207" s="10" t="n">
        <x:v>10</x:v>
      </x:c>
      <x:c r="S207" s="10" t="n">
        <x:v>1</x:v>
      </x:c>
      <x:c r="T207" s="10" t="n">
        <x:v>1</x:v>
      </x:c>
      <x:c r="U207" s="10" t="str">
        <x:v>Completed</x:v>
      </x:c>
      <x:c r="V207" s="10" t="n">
        <x:v>30</x:v>
      </x:c>
      <x:c r="W207" s="10" t="str">
        <x:f>XLOOKUP(F207,'产品维表'!$A$2:$A$5,'产品维表'!$D$2:$D$5,"未映射")</x:f>
        <x:v>L</x:v>
      </x:c>
      <x:c r="X207" s="10" t="str">
        <x:f>XLOOKUP(F207,'产品维表'!$A$2:$A$5,'产品维表'!$B$2:$B$5,"未映射")</x:f>
        <x:v>L1</x:v>
      </x:c>
      <x:c r="Y207" s="10" t="str">
        <x:f>XLOOKUP(G207,'渠道维表'!$A$2:$A$4,'渠道维表'!$B$2:$B$4,"未映射")</x:f>
        <x:v>区域经销</x:v>
      </x:c>
      <x:c r="Z207" s="10" t="str">
        <x:f>XLOOKUP(H207,'区域维表'!$A$2:$A$5,'区域维表'!$B$2:$B$5,"未映射")</x:f>
        <x:v>华北</x:v>
      </x:c>
      <x:c r="AA207" s="10" t="n">
        <x:f>XLOOKUP(B207,'日期维表'!$A$2:$A$43,'日期维表'!$F$2:$F$43,0)</x:f>
        <x:v>12</x:v>
      </x:c>
    </x:row>
    <x:row r="208" ht="15" hidden="0" customHeight="1">
      <x:c r="A208" s="10" t="str">
        <x:v>SO00207</x:v>
      </x:c>
      <x:c r="B208" s="10" t="n">
        <x:v>202412</x:v>
      </x:c>
      <x:c r="C208" s="10" t="n">
        <x:v>45630</x:v>
      </x:c>
      <x:c r="D208" s="10" t="n">
        <x:v>45641</x:v>
      </x:c>
      <x:c r="E208" s="10" t="n">
        <x:v>45641</x:v>
      </x:c>
      <x:c r="F208" s="10" t="n">
        <x:v>101</x:v>
      </x:c>
      <x:c r="G208" s="10" t="n">
        <x:v>3</x:v>
      </x:c>
      <x:c r="H208" s="10" t="n">
        <x:v>3</x:v>
      </x:c>
      <x:c r="I208" s="10" t="n">
        <x:v>25</x:v>
      </x:c>
      <x:c r="J208" s="10" t="n">
        <x:v>25</x:v>
      </x:c>
      <x:c r="K208" s="64" t="n">
        <x:v>2789.4</x:v>
      </x:c>
      <x:c r="L208" s="64" t="n">
        <x:v>76631.87</x:v>
      </x:c>
      <x:c r="M208" s="64" t="n">
        <x:v>6896.87</x:v>
      </x:c>
      <x:c r="N208" s="64" t="n">
        <x:v>69735</x:v>
      </x:c>
      <x:c r="O208" s="64" t="n">
        <x:v>1808.89</x:v>
      </x:c>
      <x:c r="P208" s="64" t="n">
        <x:v>45222.31</x:v>
      </x:c>
      <x:c r="Q208" s="64" t="n">
        <x:v>24512.69</x:v>
      </x:c>
      <x:c r="R208" s="10" t="n">
        <x:v>11</x:v>
      </x:c>
      <x:c r="S208" s="10" t="n">
        <x:v>1</x:v>
      </x:c>
      <x:c r="T208" s="10" t="n">
        <x:v>1</x:v>
      </x:c>
      <x:c r="U208" s="10" t="str">
        <x:v>Completed</x:v>
      </x:c>
      <x:c r="V208" s="10" t="n">
        <x:v>30</x:v>
      </x:c>
      <x:c r="W208" s="10" t="str">
        <x:f>XLOOKUP(F208,'产品维表'!$A$2:$A$5,'产品维表'!$D$2:$D$5,"未映射")</x:f>
        <x:v>L</x:v>
      </x:c>
      <x:c r="X208" s="10" t="str">
        <x:f>XLOOKUP(F208,'产品维表'!$A$2:$A$5,'产品维表'!$B$2:$B$5,"未映射")</x:f>
        <x:v>L1</x:v>
      </x:c>
      <x:c r="Y208" s="10" t="str">
        <x:f>XLOOKUP(G208,'渠道维表'!$A$2:$A$4,'渠道维表'!$B$2:$B$4,"未映射")</x:f>
        <x:v>区域经销</x:v>
      </x:c>
      <x:c r="Z208" s="10" t="str">
        <x:f>XLOOKUP(H208,'区域维表'!$A$2:$A$5,'区域维表'!$B$2:$B$5,"未映射")</x:f>
        <x:v>华北</x:v>
      </x:c>
      <x:c r="AA208" s="10" t="n">
        <x:f>XLOOKUP(B208,'日期维表'!$A$2:$A$43,'日期维表'!$F$2:$F$43,0)</x:f>
        <x:v>12</x:v>
      </x:c>
    </x:row>
    <x:row r="209" ht="15" hidden="0" customHeight="1">
      <x:c r="A209" s="10" t="str">
        <x:v>SO00208</x:v>
      </x:c>
      <x:c r="B209" s="10" t="n">
        <x:v>202412</x:v>
      </x:c>
      <x:c r="C209" s="10" t="n">
        <x:v>45650</x:v>
      </x:c>
      <x:c r="D209" s="10" t="n">
        <x:v>45661</x:v>
      </x:c>
      <x:c r="E209" s="10" t="n">
        <x:v>45661</x:v>
      </x:c>
      <x:c r="F209" s="10" t="n">
        <x:v>101</x:v>
      </x:c>
      <x:c r="G209" s="10" t="n">
        <x:v>1</x:v>
      </x:c>
      <x:c r="H209" s="10" t="n">
        <x:v>1</x:v>
      </x:c>
      <x:c r="I209" s="10" t="n">
        <x:v>49</x:v>
      </x:c>
      <x:c r="J209" s="10" t="n">
        <x:v>49</x:v>
      </x:c>
      <x:c r="K209" s="64" t="n">
        <x:v>2729.37</x:v>
      </x:c>
      <x:c r="L209" s="64" t="n">
        <x:v>133739</x:v>
      </x:c>
      <x:c r="M209" s="64" t="n">
        <x:v>0</x:v>
      </x:c>
      <x:c r="N209" s="64" t="n">
        <x:v>133739</x:v>
      </x:c>
      <x:c r="O209" s="64" t="n">
        <x:v>1817.72</x:v>
      </x:c>
      <x:c r="P209" s="64" t="n">
        <x:v>89068.44</x:v>
      </x:c>
      <x:c r="Q209" s="64" t="n">
        <x:v>44670.56</x:v>
      </x:c>
      <x:c r="R209" s="10" t="n">
        <x:v>11</x:v>
      </x:c>
      <x:c r="S209" s="10" t="n">
        <x:v>1</x:v>
      </x:c>
      <x:c r="T209" s="10" t="n">
        <x:v>1</x:v>
      </x:c>
      <x:c r="U209" s="10" t="str">
        <x:v>Completed</x:v>
      </x:c>
      <x:c r="V209" s="10" t="n">
        <x:v>0</x:v>
      </x:c>
      <x:c r="W209" s="10" t="str">
        <x:f>XLOOKUP(F209,'产品维表'!$A$2:$A$5,'产品维表'!$D$2:$D$5,"未映射")</x:f>
        <x:v>L</x:v>
      </x:c>
      <x:c r="X209" s="10" t="str">
        <x:f>XLOOKUP(F209,'产品维表'!$A$2:$A$5,'产品维表'!$B$2:$B$5,"未映射")</x:f>
        <x:v>L1</x:v>
      </x:c>
      <x:c r="Y209" s="10" t="str">
        <x:f>XLOOKUP(G209,'渠道维表'!$A$2:$A$4,'渠道维表'!$B$2:$B$4,"未映射")</x:f>
        <x:v>线上直营</x:v>
      </x:c>
      <x:c r="Z209" s="10" t="str">
        <x:f>XLOOKUP(H209,'区域维表'!$A$2:$A$5,'区域维表'!$B$2:$B$5,"未映射")</x:f>
        <x:v>华东</x:v>
      </x:c>
      <x:c r="AA209" s="10" t="n">
        <x:f>XLOOKUP(B209,'日期维表'!$A$2:$A$43,'日期维表'!$F$2:$F$43,0)</x:f>
        <x:v>12</x:v>
      </x:c>
    </x:row>
    <x:row r="210" ht="15" hidden="0" customHeight="1">
      <x:c r="A210" s="10" t="str">
        <x:v>SO00209</x:v>
      </x:c>
      <x:c r="B210" s="10" t="n">
        <x:v>202412</x:v>
      </x:c>
      <x:c r="C210" s="10" t="n">
        <x:v>45648</x:v>
      </x:c>
      <x:c r="D210" s="10" t="n">
        <x:v>45660</x:v>
      </x:c>
      <x:c r="E210" s="10" t="n">
        <x:v>45660</x:v>
      </x:c>
      <x:c r="F210" s="10" t="n">
        <x:v>102</x:v>
      </x:c>
      <x:c r="G210" s="10" t="n">
        <x:v>1</x:v>
      </x:c>
      <x:c r="H210" s="10" t="n">
        <x:v>2</x:v>
      </x:c>
      <x:c r="I210" s="10" t="n">
        <x:v>45</x:v>
      </x:c>
      <x:c r="J210" s="10" t="n">
        <x:v>45</x:v>
      </x:c>
      <x:c r="K210" s="64" t="n">
        <x:v>2631.31</x:v>
      </x:c>
      <x:c r="L210" s="64" t="n">
        <x:v>118409</x:v>
      </x:c>
      <x:c r="M210" s="64" t="n">
        <x:v>0</x:v>
      </x:c>
      <x:c r="N210" s="64" t="n">
        <x:v>118409</x:v>
      </x:c>
      <x:c r="O210" s="64" t="n">
        <x:v>2235.97</x:v>
      </x:c>
      <x:c r="P210" s="64" t="n">
        <x:v>100618.72</x:v>
      </x:c>
      <x:c r="Q210" s="64" t="n">
        <x:v>17790.28</x:v>
      </x:c>
      <x:c r="R210" s="10" t="n">
        <x:v>12</x:v>
      </x:c>
      <x:c r="S210" s="10" t="n">
        <x:v>1</x:v>
      </x:c>
      <x:c r="T210" s="10" t="n">
        <x:v>1</x:v>
      </x:c>
      <x:c r="U210" s="10" t="str">
        <x:v>Completed</x:v>
      </x:c>
      <x:c r="V210" s="10" t="n">
        <x:v>0</x:v>
      </x:c>
      <x:c r="W210" s="10" t="str">
        <x:f>XLOOKUP(F210,'产品维表'!$A$2:$A$5,'产品维表'!$D$2:$D$5,"未映射")</x:f>
        <x:v>L</x:v>
      </x:c>
      <x:c r="X210" s="10" t="str">
        <x:f>XLOOKUP(F210,'产品维表'!$A$2:$A$5,'产品维表'!$B$2:$B$5,"未映射")</x:f>
        <x:v>L2</x:v>
      </x:c>
      <x:c r="Y210" s="10" t="str">
        <x:f>XLOOKUP(G210,'渠道维表'!$A$2:$A$4,'渠道维表'!$B$2:$B$4,"未映射")</x:f>
        <x:v>线上直营</x:v>
      </x:c>
      <x:c r="Z210" s="10" t="str">
        <x:f>XLOOKUP(H210,'区域维表'!$A$2:$A$5,'区域维表'!$B$2:$B$5,"未映射")</x:f>
        <x:v>华南</x:v>
      </x:c>
      <x:c r="AA210" s="10" t="n">
        <x:f>XLOOKUP(B210,'日期维表'!$A$2:$A$43,'日期维表'!$F$2:$F$43,0)</x:f>
        <x:v>12</x:v>
      </x:c>
    </x:row>
    <x:row r="211" ht="15" hidden="0" customHeight="1">
      <x:c r="A211" s="10" t="str">
        <x:v>SO00210</x:v>
      </x:c>
      <x:c r="B211" s="10" t="n">
        <x:v>202412</x:v>
      </x:c>
      <x:c r="C211" s="10" t="n">
        <x:v>45645</x:v>
      </x:c>
      <x:c r="D211" s="10" t="n">
        <x:v>45652</x:v>
      </x:c>
      <x:c r="E211" s="10" t="n">
        <x:v>45652</x:v>
      </x:c>
      <x:c r="F211" s="10" t="n">
        <x:v>101</x:v>
      </x:c>
      <x:c r="G211" s="10" t="n">
        <x:v>3</x:v>
      </x:c>
      <x:c r="H211" s="10" t="n">
        <x:v>1</x:v>
      </x:c>
      <x:c r="I211" s="10" t="n">
        <x:v>49</x:v>
      </x:c>
      <x:c r="J211" s="10" t="n">
        <x:v>49</x:v>
      </x:c>
      <x:c r="K211" s="64" t="n">
        <x:v>2720.06</x:v>
      </x:c>
      <x:c r="L211" s="64" t="n">
        <x:v>146464.84</x:v>
      </x:c>
      <x:c r="M211" s="64" t="n">
        <x:v>13181.84</x:v>
      </x:c>
      <x:c r="N211" s="64" t="n">
        <x:v>133283</x:v>
      </x:c>
      <x:c r="O211" s="64" t="n">
        <x:v>1834.08</x:v>
      </x:c>
      <x:c r="P211" s="64" t="n">
        <x:v>89869.96</x:v>
      </x:c>
      <x:c r="Q211" s="64" t="n">
        <x:v>43413.04</x:v>
      </x:c>
      <x:c r="R211" s="10" t="n">
        <x:v>7</x:v>
      </x:c>
      <x:c r="S211" s="10" t="n">
        <x:v>1</x:v>
      </x:c>
      <x:c r="T211" s="10" t="n">
        <x:v>1</x:v>
      </x:c>
      <x:c r="U211" s="10" t="str">
        <x:v>Completed</x:v>
      </x:c>
      <x:c r="V211" s="10" t="n">
        <x:v>30</x:v>
      </x:c>
      <x:c r="W211" s="10" t="str">
        <x:f>XLOOKUP(F211,'产品维表'!$A$2:$A$5,'产品维表'!$D$2:$D$5,"未映射")</x:f>
        <x:v>L</x:v>
      </x:c>
      <x:c r="X211" s="10" t="str">
        <x:f>XLOOKUP(F211,'产品维表'!$A$2:$A$5,'产品维表'!$B$2:$B$5,"未映射")</x:f>
        <x:v>L1</x:v>
      </x:c>
      <x:c r="Y211" s="10" t="str">
        <x:f>XLOOKUP(G211,'渠道维表'!$A$2:$A$4,'渠道维表'!$B$2:$B$4,"未映射")</x:f>
        <x:v>区域经销</x:v>
      </x:c>
      <x:c r="Z211" s="10" t="str">
        <x:f>XLOOKUP(H211,'区域维表'!$A$2:$A$5,'区域维表'!$B$2:$B$5,"未映射")</x:f>
        <x:v>华东</x:v>
      </x:c>
      <x:c r="AA211" s="10" t="n">
        <x:f>XLOOKUP(B211,'日期维表'!$A$2:$A$43,'日期维表'!$F$2:$F$43,0)</x:f>
        <x:v>12</x:v>
      </x:c>
    </x:row>
    <x:row r="212" ht="15" hidden="0" customHeight="1">
      <x:c r="A212" s="10" t="str">
        <x:v>SO00211</x:v>
      </x:c>
      <x:c r="B212" s="10" t="n">
        <x:v>202412</x:v>
      </x:c>
      <x:c r="C212" s="10" t="n">
        <x:v>45633</x:v>
      </x:c>
      <x:c r="D212" s="10" t="n">
        <x:v>45641</x:v>
      </x:c>
      <x:c r="E212" s="10" t="n">
        <x:v>45641</x:v>
      </x:c>
      <x:c r="F212" s="10" t="n">
        <x:v>102</x:v>
      </x:c>
      <x:c r="G212" s="10" t="n">
        <x:v>3</x:v>
      </x:c>
      <x:c r="H212" s="10" t="n">
        <x:v>1</x:v>
      </x:c>
      <x:c r="I212" s="10" t="n">
        <x:v>53</x:v>
      </x:c>
      <x:c r="J212" s="10" t="n">
        <x:v>53</x:v>
      </x:c>
      <x:c r="K212" s="64" t="n">
        <x:v>2865.04</x:v>
      </x:c>
      <x:c r="L212" s="64" t="n">
        <x:v>166864.84</x:v>
      </x:c>
      <x:c r="M212" s="64" t="n">
        <x:v>15017.84</x:v>
      </x:c>
      <x:c r="N212" s="64" t="n">
        <x:v>151847</x:v>
      </x:c>
      <x:c r="O212" s="64" t="n">
        <x:v>2268.02</x:v>
      </x:c>
      <x:c r="P212" s="64" t="n">
        <x:v>120205.05</x:v>
      </x:c>
      <x:c r="Q212" s="64" t="n">
        <x:v>31641.95</x:v>
      </x:c>
      <x:c r="R212" s="10" t="n">
        <x:v>8</x:v>
      </x:c>
      <x:c r="S212" s="10" t="n">
        <x:v>1</x:v>
      </x:c>
      <x:c r="T212" s="10" t="n">
        <x:v>1</x:v>
      </x:c>
      <x:c r="U212" s="10" t="str">
        <x:v>Completed</x:v>
      </x:c>
      <x:c r="V212" s="10" t="n">
        <x:v>30</x:v>
      </x:c>
      <x:c r="W212" s="10" t="str">
        <x:f>XLOOKUP(F212,'产品维表'!$A$2:$A$5,'产品维表'!$D$2:$D$5,"未映射")</x:f>
        <x:v>L</x:v>
      </x:c>
      <x:c r="X212" s="10" t="str">
        <x:f>XLOOKUP(F212,'产品维表'!$A$2:$A$5,'产品维表'!$B$2:$B$5,"未映射")</x:f>
        <x:v>L2</x:v>
      </x:c>
      <x:c r="Y212" s="10" t="str">
        <x:f>XLOOKUP(G212,'渠道维表'!$A$2:$A$4,'渠道维表'!$B$2:$B$4,"未映射")</x:f>
        <x:v>区域经销</x:v>
      </x:c>
      <x:c r="Z212" s="10" t="str">
        <x:f>XLOOKUP(H212,'区域维表'!$A$2:$A$5,'区域维表'!$B$2:$B$5,"未映射")</x:f>
        <x:v>华东</x:v>
      </x:c>
      <x:c r="AA212" s="10" t="n">
        <x:f>XLOOKUP(B212,'日期维表'!$A$2:$A$43,'日期维表'!$F$2:$F$43,0)</x:f>
        <x:v>12</x:v>
      </x:c>
    </x:row>
    <x:row r="213" ht="15" hidden="0" customHeight="1">
      <x:c r="A213" s="10" t="str">
        <x:v>SO00212</x:v>
      </x:c>
      <x:c r="B213" s="10" t="n">
        <x:v>202412</x:v>
      </x:c>
      <x:c r="C213" s="10" t="n">
        <x:v>45630</x:v>
      </x:c>
      <x:c r="D213" s="10" t="n">
        <x:v>45642</x:v>
      </x:c>
      <x:c r="E213" s="10" t="n">
        <x:v>45645</x:v>
      </x:c>
      <x:c r="F213" s="10" t="n">
        <x:v>102</x:v>
      </x:c>
      <x:c r="G213" s="10" t="n">
        <x:v>3</x:v>
      </x:c>
      <x:c r="H213" s="10" t="n">
        <x:v>1</x:v>
      </x:c>
      <x:c r="I213" s="10" t="n">
        <x:v>42</x:v>
      </x:c>
      <x:c r="J213" s="10" t="n">
        <x:v>42</x:v>
      </x:c>
      <x:c r="K213" s="64" t="n">
        <x:v>2645.26</x:v>
      </x:c>
      <x:c r="L213" s="64" t="n">
        <x:v>122089.01</x:v>
      </x:c>
      <x:c r="M213" s="64" t="n">
        <x:v>10988.01</x:v>
      </x:c>
      <x:c r="N213" s="64" t="n">
        <x:v>111101</x:v>
      </x:c>
      <x:c r="O213" s="64" t="n">
        <x:v>2249.5</x:v>
      </x:c>
      <x:c r="P213" s="64" t="n">
        <x:v>94479.03</x:v>
      </x:c>
      <x:c r="Q213" s="64" t="n">
        <x:v>16621.97</x:v>
      </x:c>
      <x:c r="R213" s="10" t="n">
        <x:v>15</x:v>
      </x:c>
      <x:c r="S213" s="10" t="n">
        <x:v>0</x:v>
      </x:c>
      <x:c r="T213" s="10" t="n">
        <x:v>1</x:v>
      </x:c>
      <x:c r="U213" s="10" t="str">
        <x:v>Completed</x:v>
      </x:c>
      <x:c r="V213" s="10" t="n">
        <x:v>30</x:v>
      </x:c>
      <x:c r="W213" s="10" t="str">
        <x:f>XLOOKUP(F213,'产品维表'!$A$2:$A$5,'产品维表'!$D$2:$D$5,"未映射")</x:f>
        <x:v>L</x:v>
      </x:c>
      <x:c r="X213" s="10" t="str">
        <x:f>XLOOKUP(F213,'产品维表'!$A$2:$A$5,'产品维表'!$B$2:$B$5,"未映射")</x:f>
        <x:v>L2</x:v>
      </x:c>
      <x:c r="Y213" s="10" t="str">
        <x:f>XLOOKUP(G213,'渠道维表'!$A$2:$A$4,'渠道维表'!$B$2:$B$4,"未映射")</x:f>
        <x:v>区域经销</x:v>
      </x:c>
      <x:c r="Z213" s="10" t="str">
        <x:f>XLOOKUP(H213,'区域维表'!$A$2:$A$5,'区域维表'!$B$2:$B$5,"未映射")</x:f>
        <x:v>华东</x:v>
      </x:c>
      <x:c r="AA213" s="10" t="n">
        <x:f>XLOOKUP(B213,'日期维表'!$A$2:$A$43,'日期维表'!$F$2:$F$43,0)</x:f>
        <x:v>12</x:v>
      </x:c>
    </x:row>
    <x:row r="214" ht="15" hidden="0" customHeight="1">
      <x:c r="A214" s="10" t="str">
        <x:v>SO00213</x:v>
      </x:c>
      <x:c r="B214" s="10" t="n">
        <x:v>202412</x:v>
      </x:c>
      <x:c r="C214" s="10" t="n">
        <x:v>45646</x:v>
      </x:c>
      <x:c r="D214" s="10" t="n">
        <x:v>45657</x:v>
      </x:c>
      <x:c r="E214" s="10" t="n">
        <x:v>45657</x:v>
      </x:c>
      <x:c r="F214" s="10" t="n">
        <x:v>101</x:v>
      </x:c>
      <x:c r="G214" s="10" t="n">
        <x:v>3</x:v>
      </x:c>
      <x:c r="H214" s="10" t="n">
        <x:v>2</x:v>
      </x:c>
      <x:c r="I214" s="10" t="n">
        <x:v>45</x:v>
      </x:c>
      <x:c r="J214" s="10" t="n">
        <x:v>45</x:v>
      </x:c>
      <x:c r="K214" s="64" t="n">
        <x:v>2582.4</x:v>
      </x:c>
      <x:c r="L214" s="64" t="n">
        <x:v>127701.1</x:v>
      </x:c>
      <x:c r="M214" s="64" t="n">
        <x:v>11493.1</x:v>
      </x:c>
      <x:c r="N214" s="64" t="n">
        <x:v>116208</x:v>
      </x:c>
      <x:c r="O214" s="64" t="n">
        <x:v>1839.91</x:v>
      </x:c>
      <x:c r="P214" s="64" t="n">
        <x:v>82796.12</x:v>
      </x:c>
      <x:c r="Q214" s="64" t="n">
        <x:v>33411.88</x:v>
      </x:c>
      <x:c r="R214" s="10" t="n">
        <x:v>11</x:v>
      </x:c>
      <x:c r="S214" s="10" t="n">
        <x:v>1</x:v>
      </x:c>
      <x:c r="T214" s="10" t="n">
        <x:v>1</x:v>
      </x:c>
      <x:c r="U214" s="10" t="str">
        <x:v>Completed</x:v>
      </x:c>
      <x:c r="V214" s="10" t="n">
        <x:v>30</x:v>
      </x:c>
      <x:c r="W214" s="10" t="str">
        <x:f>XLOOKUP(F214,'产品维表'!$A$2:$A$5,'产品维表'!$D$2:$D$5,"未映射")</x:f>
        <x:v>L</x:v>
      </x:c>
      <x:c r="X214" s="10" t="str">
        <x:f>XLOOKUP(F214,'产品维表'!$A$2:$A$5,'产品维表'!$B$2:$B$5,"未映射")</x:f>
        <x:v>L1</x:v>
      </x:c>
      <x:c r="Y214" s="10" t="str">
        <x:f>XLOOKUP(G214,'渠道维表'!$A$2:$A$4,'渠道维表'!$B$2:$B$4,"未映射")</x:f>
        <x:v>区域经销</x:v>
      </x:c>
      <x:c r="Z214" s="10" t="str">
        <x:f>XLOOKUP(H214,'区域维表'!$A$2:$A$5,'区域维表'!$B$2:$B$5,"未映射")</x:f>
        <x:v>华南</x:v>
      </x:c>
      <x:c r="AA214" s="10" t="n">
        <x:f>XLOOKUP(B214,'日期维表'!$A$2:$A$43,'日期维表'!$F$2:$F$43,0)</x:f>
        <x:v>12</x:v>
      </x:c>
    </x:row>
    <x:row r="215" ht="15" hidden="0" customHeight="1">
      <x:c r="A215" s="10" t="str">
        <x:v>SO00214</x:v>
      </x:c>
      <x:c r="B215" s="10" t="n">
        <x:v>202412</x:v>
      </x:c>
      <x:c r="C215" s="10" t="n">
        <x:v>45629</x:v>
      </x:c>
      <x:c r="D215" s="10" t="n">
        <x:v>45638</x:v>
      </x:c>
      <x:c r="E215" s="10" t="n">
        <x:v>45638</x:v>
      </x:c>
      <x:c r="F215" s="10" t="n">
        <x:v>101</x:v>
      </x:c>
      <x:c r="G215" s="10" t="n">
        <x:v>3</x:v>
      </x:c>
      <x:c r="H215" s="10" t="n">
        <x:v>4</x:v>
      </x:c>
      <x:c r="I215" s="10" t="n">
        <x:v>52</x:v>
      </x:c>
      <x:c r="J215" s="10" t="n">
        <x:v>52</x:v>
      </x:c>
      <x:c r="K215" s="64" t="n">
        <x:v>2850.25</x:v>
      </x:c>
      <x:c r="L215" s="64" t="n">
        <x:v>162871.43</x:v>
      </x:c>
      <x:c r="M215" s="64" t="n">
        <x:v>14658.43</x:v>
      </x:c>
      <x:c r="N215" s="64" t="n">
        <x:v>148213</x:v>
      </x:c>
      <x:c r="O215" s="64" t="n">
        <x:v>1869.32</x:v>
      </x:c>
      <x:c r="P215" s="64" t="n">
        <x:v>97204.58</x:v>
      </x:c>
      <x:c r="Q215" s="64" t="n">
        <x:v>51008.42</x:v>
      </x:c>
      <x:c r="R215" s="10" t="n">
        <x:v>9</x:v>
      </x:c>
      <x:c r="S215" s="10" t="n">
        <x:v>1</x:v>
      </x:c>
      <x:c r="T215" s="10" t="n">
        <x:v>1</x:v>
      </x:c>
      <x:c r="U215" s="10" t="str">
        <x:v>Completed</x:v>
      </x:c>
      <x:c r="V215" s="10" t="n">
        <x:v>30</x:v>
      </x:c>
      <x:c r="W215" s="10" t="str">
        <x:f>XLOOKUP(F215,'产品维表'!$A$2:$A$5,'产品维表'!$D$2:$D$5,"未映射")</x:f>
        <x:v>L</x:v>
      </x:c>
      <x:c r="X215" s="10" t="str">
        <x:f>XLOOKUP(F215,'产品维表'!$A$2:$A$5,'产品维表'!$B$2:$B$5,"未映射")</x:f>
        <x:v>L1</x:v>
      </x:c>
      <x:c r="Y215" s="10" t="str">
        <x:f>XLOOKUP(G215,'渠道维表'!$A$2:$A$4,'渠道维表'!$B$2:$B$4,"未映射")</x:f>
        <x:v>区域经销</x:v>
      </x:c>
      <x:c r="Z215" s="10" t="str">
        <x:f>XLOOKUP(H215,'区域维表'!$A$2:$A$5,'区域维表'!$B$2:$B$5,"未映射")</x:f>
        <x:v>中西部</x:v>
      </x:c>
      <x:c r="AA215" s="10" t="n">
        <x:f>XLOOKUP(B215,'日期维表'!$A$2:$A$43,'日期维表'!$F$2:$F$43,0)</x:f>
        <x:v>12</x:v>
      </x:c>
    </x:row>
    <x:row r="216" ht="15" hidden="0" customHeight="1">
      <x:c r="A216" s="10" t="str">
        <x:v>SO00215</x:v>
      </x:c>
      <x:c r="B216" s="10" t="n">
        <x:v>202412</x:v>
      </x:c>
      <x:c r="C216" s="10" t="n">
        <x:v>45639</x:v>
      </x:c>
      <x:c r="D216" s="10" t="n">
        <x:v>45645</x:v>
      </x:c>
      <x:c r="E216" s="10" t="n">
        <x:v>45645</x:v>
      </x:c>
      <x:c r="F216" s="10" t="n">
        <x:v>101</x:v>
      </x:c>
      <x:c r="G216" s="10" t="n">
        <x:v>3</x:v>
      </x:c>
      <x:c r="H216" s="10" t="n">
        <x:v>4</x:v>
      </x:c>
      <x:c r="I216" s="10" t="n">
        <x:v>40</x:v>
      </x:c>
      <x:c r="J216" s="10" t="n">
        <x:v>40</x:v>
      </x:c>
      <x:c r="K216" s="64" t="n">
        <x:v>2860</x:v>
      </x:c>
      <x:c r="L216" s="64" t="n">
        <x:v>125714.29</x:v>
      </x:c>
      <x:c r="M216" s="64" t="n">
        <x:v>11314.29</x:v>
      </x:c>
      <x:c r="N216" s="64" t="n">
        <x:v>114400</x:v>
      </x:c>
      <x:c r="O216" s="64" t="n">
        <x:v>1862.05</x:v>
      </x:c>
      <x:c r="P216" s="64" t="n">
        <x:v>74482</x:v>
      </x:c>
      <x:c r="Q216" s="64" t="n">
        <x:v>39918</x:v>
      </x:c>
      <x:c r="R216" s="10" t="n">
        <x:v>6</x:v>
      </x:c>
      <x:c r="S216" s="10" t="n">
        <x:v>1</x:v>
      </x:c>
      <x:c r="T216" s="10" t="n">
        <x:v>1</x:v>
      </x:c>
      <x:c r="U216" s="10" t="str">
        <x:v>Completed</x:v>
      </x:c>
      <x:c r="V216" s="10" t="n">
        <x:v>30</x:v>
      </x:c>
      <x:c r="W216" s="10" t="str">
        <x:f>XLOOKUP(F216,'产品维表'!$A$2:$A$5,'产品维表'!$D$2:$D$5,"未映射")</x:f>
        <x:v>L</x:v>
      </x:c>
      <x:c r="X216" s="10" t="str">
        <x:f>XLOOKUP(F216,'产品维表'!$A$2:$A$5,'产品维表'!$B$2:$B$5,"未映射")</x:f>
        <x:v>L1</x:v>
      </x:c>
      <x:c r="Y216" s="10" t="str">
        <x:f>XLOOKUP(G216,'渠道维表'!$A$2:$A$4,'渠道维表'!$B$2:$B$4,"未映射")</x:f>
        <x:v>区域经销</x:v>
      </x:c>
      <x:c r="Z216" s="10" t="str">
        <x:f>XLOOKUP(H216,'区域维表'!$A$2:$A$5,'区域维表'!$B$2:$B$5,"未映射")</x:f>
        <x:v>中西部</x:v>
      </x:c>
      <x:c r="AA216" s="10" t="n">
        <x:f>XLOOKUP(B216,'日期维表'!$A$2:$A$43,'日期维表'!$F$2:$F$43,0)</x:f>
        <x:v>12</x:v>
      </x:c>
    </x:row>
    <x:row r="217" ht="15" hidden="0" customHeight="1">
      <x:c r="A217" s="10" t="str">
        <x:v>SO00216</x:v>
      </x:c>
      <x:c r="B217" s="10" t="n">
        <x:v>202501</x:v>
      </x:c>
      <x:c r="C217" s="10" t="n">
        <x:v>45669</x:v>
      </x:c>
      <x:c r="D217" s="10" t="n">
        <x:v>45681</x:v>
      </x:c>
      <x:c r="E217" s="10" t="n">
        <x:v>45681</x:v>
      </x:c>
      <x:c r="F217" s="10" t="n">
        <x:v>101</x:v>
      </x:c>
      <x:c r="G217" s="10" t="n">
        <x:v>1</x:v>
      </x:c>
      <x:c r="H217" s="10" t="n">
        <x:v>1</x:v>
      </x:c>
      <x:c r="I217" s="10" t="n">
        <x:v>50</x:v>
      </x:c>
      <x:c r="J217" s="10" t="n">
        <x:v>50</x:v>
      </x:c>
      <x:c r="K217" s="64" t="n">
        <x:v>2620.68</x:v>
      </x:c>
      <x:c r="L217" s="64" t="n">
        <x:v>131034</x:v>
      </x:c>
      <x:c r="M217" s="64" t="n">
        <x:v>0</x:v>
      </x:c>
      <x:c r="N217" s="64" t="n">
        <x:v>131034</x:v>
      </x:c>
      <x:c r="O217" s="64" t="n">
        <x:v>1849.5</x:v>
      </x:c>
      <x:c r="P217" s="64" t="n">
        <x:v>92475.05</x:v>
      </x:c>
      <x:c r="Q217" s="64" t="n">
        <x:v>38558.95</x:v>
      </x:c>
      <x:c r="R217" s="10" t="n">
        <x:v>12</x:v>
      </x:c>
      <x:c r="S217" s="10" t="n">
        <x:v>1</x:v>
      </x:c>
      <x:c r="T217" s="10" t="n">
        <x:v>1</x:v>
      </x:c>
      <x:c r="U217" s="10" t="str">
        <x:v>Completed</x:v>
      </x:c>
      <x:c r="V217" s="10" t="n">
        <x:v>0</x:v>
      </x:c>
      <x:c r="W217" s="10" t="str">
        <x:f>XLOOKUP(F217,'产品维表'!$A$2:$A$5,'产品维表'!$D$2:$D$5,"未映射")</x:f>
        <x:v>L</x:v>
      </x:c>
      <x:c r="X217" s="10" t="str">
        <x:f>XLOOKUP(F217,'产品维表'!$A$2:$A$5,'产品维表'!$B$2:$B$5,"未映射")</x:f>
        <x:v>L1</x:v>
      </x:c>
      <x:c r="Y217" s="10" t="str">
        <x:f>XLOOKUP(G217,'渠道维表'!$A$2:$A$4,'渠道维表'!$B$2:$B$4,"未映射")</x:f>
        <x:v>线上直营</x:v>
      </x:c>
      <x:c r="Z217" s="10" t="str">
        <x:f>XLOOKUP(H217,'区域维表'!$A$2:$A$5,'区域维表'!$B$2:$B$5,"未映射")</x:f>
        <x:v>华东</x:v>
      </x:c>
      <x:c r="AA217" s="10" t="n">
        <x:f>XLOOKUP(B217,'日期维表'!$A$2:$A$43,'日期维表'!$F$2:$F$43,0)</x:f>
        <x:v>13</x:v>
      </x:c>
    </x:row>
    <x:row r="218" ht="15" hidden="0" customHeight="1">
      <x:c r="A218" s="10" t="str">
        <x:v>SO00217</x:v>
      </x:c>
      <x:c r="B218" s="10" t="n">
        <x:v>202501</x:v>
      </x:c>
      <x:c r="C218" s="10" t="n">
        <x:v>45681</x:v>
      </x:c>
      <x:c r="D218" s="10" t="n">
        <x:v>45688</x:v>
      </x:c>
      <x:c r="E218" s="10" t="n">
        <x:v>45688</x:v>
      </x:c>
      <x:c r="F218" s="10" t="n">
        <x:v>101</x:v>
      </x:c>
      <x:c r="G218" s="10" t="n">
        <x:v>1</x:v>
      </x:c>
      <x:c r="H218" s="10" t="n">
        <x:v>2</x:v>
      </x:c>
      <x:c r="I218" s="10" t="n">
        <x:v>43</x:v>
      </x:c>
      <x:c r="J218" s="10" t="n">
        <x:v>43</x:v>
      </x:c>
      <x:c r="K218" s="64" t="n">
        <x:v>2612.58</x:v>
      </x:c>
      <x:c r="L218" s="64" t="n">
        <x:v>112341</x:v>
      </x:c>
      <x:c r="M218" s="64" t="n">
        <x:v>0</x:v>
      </x:c>
      <x:c r="N218" s="64" t="n">
        <x:v>112341</x:v>
      </x:c>
      <x:c r="O218" s="64" t="n">
        <x:v>1822.51</x:v>
      </x:c>
      <x:c r="P218" s="64" t="n">
        <x:v>78368.07</x:v>
      </x:c>
      <x:c r="Q218" s="64" t="n">
        <x:v>33972.93</x:v>
      </x:c>
      <x:c r="R218" s="10" t="n">
        <x:v>7</x:v>
      </x:c>
      <x:c r="S218" s="10" t="n">
        <x:v>1</x:v>
      </x:c>
      <x:c r="T218" s="10" t="n">
        <x:v>1</x:v>
      </x:c>
      <x:c r="U218" s="10" t="str">
        <x:v>Completed</x:v>
      </x:c>
      <x:c r="V218" s="10" t="n">
        <x:v>0</x:v>
      </x:c>
      <x:c r="W218" s="10" t="str">
        <x:f>XLOOKUP(F218,'产品维表'!$A$2:$A$5,'产品维表'!$D$2:$D$5,"未映射")</x:f>
        <x:v>L</x:v>
      </x:c>
      <x:c r="X218" s="10" t="str">
        <x:f>XLOOKUP(F218,'产品维表'!$A$2:$A$5,'产品维表'!$B$2:$B$5,"未映射")</x:f>
        <x:v>L1</x:v>
      </x:c>
      <x:c r="Y218" s="10" t="str">
        <x:f>XLOOKUP(G218,'渠道维表'!$A$2:$A$4,'渠道维表'!$B$2:$B$4,"未映射")</x:f>
        <x:v>线上直营</x:v>
      </x:c>
      <x:c r="Z218" s="10" t="str">
        <x:f>XLOOKUP(H218,'区域维表'!$A$2:$A$5,'区域维表'!$B$2:$B$5,"未映射")</x:f>
        <x:v>华南</x:v>
      </x:c>
      <x:c r="AA218" s="10" t="n">
        <x:f>XLOOKUP(B218,'日期维表'!$A$2:$A$43,'日期维表'!$F$2:$F$43,0)</x:f>
        <x:v>13</x:v>
      </x:c>
    </x:row>
    <x:row r="219" ht="15" hidden="0" customHeight="1">
      <x:c r="A219" s="10" t="str">
        <x:v>SO00218</x:v>
      </x:c>
      <x:c r="B219" s="10" t="n">
        <x:v>202501</x:v>
      </x:c>
      <x:c r="C219" s="10" t="n">
        <x:v>45668</x:v>
      </x:c>
      <x:c r="D219" s="10" t="n">
        <x:v>45680</x:v>
      </x:c>
      <x:c r="E219" s="10" t="n">
        <x:v>45680</x:v>
      </x:c>
      <x:c r="F219" s="10" t="n">
        <x:v>102</x:v>
      </x:c>
      <x:c r="G219" s="10" t="n">
        <x:v>3</x:v>
      </x:c>
      <x:c r="H219" s="10" t="n">
        <x:v>1</x:v>
      </x:c>
      <x:c r="I219" s="10" t="n">
        <x:v>60</x:v>
      </x:c>
      <x:c r="J219" s="10" t="n">
        <x:v>60</x:v>
      </x:c>
      <x:c r="K219" s="64" t="n">
        <x:v>2672.72</x:v>
      </x:c>
      <x:c r="L219" s="64" t="n">
        <x:v>176223.08</x:v>
      </x:c>
      <x:c r="M219" s="64" t="n">
        <x:v>15860.08</x:v>
      </x:c>
      <x:c r="N219" s="64" t="n">
        <x:v>160363</x:v>
      </x:c>
      <x:c r="O219" s="64" t="n">
        <x:v>2227.4</x:v>
      </x:c>
      <x:c r="P219" s="64" t="n">
        <x:v>133644.15</x:v>
      </x:c>
      <x:c r="Q219" s="64" t="n">
        <x:v>26718.85</x:v>
      </x:c>
      <x:c r="R219" s="10" t="n">
        <x:v>12</x:v>
      </x:c>
      <x:c r="S219" s="10" t="n">
        <x:v>1</x:v>
      </x:c>
      <x:c r="T219" s="10" t="n">
        <x:v>1</x:v>
      </x:c>
      <x:c r="U219" s="10" t="str">
        <x:v>Completed</x:v>
      </x:c>
      <x:c r="V219" s="10" t="n">
        <x:v>30</x:v>
      </x:c>
      <x:c r="W219" s="10" t="str">
        <x:f>XLOOKUP(F219,'产品维表'!$A$2:$A$5,'产品维表'!$D$2:$D$5,"未映射")</x:f>
        <x:v>L</x:v>
      </x:c>
      <x:c r="X219" s="10" t="str">
        <x:f>XLOOKUP(F219,'产品维表'!$A$2:$A$5,'产品维表'!$B$2:$B$5,"未映射")</x:f>
        <x:v>L2</x:v>
      </x:c>
      <x:c r="Y219" s="10" t="str">
        <x:f>XLOOKUP(G219,'渠道维表'!$A$2:$A$4,'渠道维表'!$B$2:$B$4,"未映射")</x:f>
        <x:v>区域经销</x:v>
      </x:c>
      <x:c r="Z219" s="10" t="str">
        <x:f>XLOOKUP(H219,'区域维表'!$A$2:$A$5,'区域维表'!$B$2:$B$5,"未映射")</x:f>
        <x:v>华东</x:v>
      </x:c>
      <x:c r="AA219" s="10" t="n">
        <x:f>XLOOKUP(B219,'日期维表'!$A$2:$A$43,'日期维表'!$F$2:$F$43,0)</x:f>
        <x:v>13</x:v>
      </x:c>
    </x:row>
    <x:row r="220" ht="15" hidden="0" customHeight="1">
      <x:c r="A220" s="10" t="str">
        <x:v>SO00219</x:v>
      </x:c>
      <x:c r="B220" s="10" t="n">
        <x:v>202501</x:v>
      </x:c>
      <x:c r="C220" s="10" t="n">
        <x:v>45675</x:v>
      </x:c>
      <x:c r="D220" s="10" t="n">
        <x:v>45687</x:v>
      </x:c>
      <x:c r="E220" s="10" t="n">
        <x:v>45687</x:v>
      </x:c>
      <x:c r="F220" s="10" t="n">
        <x:v>102</x:v>
      </x:c>
      <x:c r="G220" s="10" t="n">
        <x:v>3</x:v>
      </x:c>
      <x:c r="H220" s="10" t="n">
        <x:v>1</x:v>
      </x:c>
      <x:c r="I220" s="10" t="n">
        <x:v>44</x:v>
      </x:c>
      <x:c r="J220" s="10" t="n">
        <x:v>44</x:v>
      </x:c>
      <x:c r="K220" s="64" t="n">
        <x:v>2842.07</x:v>
      </x:c>
      <x:c r="L220" s="64" t="n">
        <x:v>137418.68</x:v>
      </x:c>
      <x:c r="M220" s="64" t="n">
        <x:v>12367.68</x:v>
      </x:c>
      <x:c r="N220" s="64" t="n">
        <x:v>125051</x:v>
      </x:c>
      <x:c r="O220" s="64" t="n">
        <x:v>2198.76</x:v>
      </x:c>
      <x:c r="P220" s="64" t="n">
        <x:v>96745.29</x:v>
      </x:c>
      <x:c r="Q220" s="64" t="n">
        <x:v>28305.71</x:v>
      </x:c>
      <x:c r="R220" s="10" t="n">
        <x:v>12</x:v>
      </x:c>
      <x:c r="S220" s="10" t="n">
        <x:v>1</x:v>
      </x:c>
      <x:c r="T220" s="10" t="n">
        <x:v>1</x:v>
      </x:c>
      <x:c r="U220" s="10" t="str">
        <x:v>Completed</x:v>
      </x:c>
      <x:c r="V220" s="10" t="n">
        <x:v>30</x:v>
      </x:c>
      <x:c r="W220" s="10" t="str">
        <x:f>XLOOKUP(F220,'产品维表'!$A$2:$A$5,'产品维表'!$D$2:$D$5,"未映射")</x:f>
        <x:v>L</x:v>
      </x:c>
      <x:c r="X220" s="10" t="str">
        <x:f>XLOOKUP(F220,'产品维表'!$A$2:$A$5,'产品维表'!$B$2:$B$5,"未映射")</x:f>
        <x:v>L2</x:v>
      </x:c>
      <x:c r="Y220" s="10" t="str">
        <x:f>XLOOKUP(G220,'渠道维表'!$A$2:$A$4,'渠道维表'!$B$2:$B$4,"未映射")</x:f>
        <x:v>区域经销</x:v>
      </x:c>
      <x:c r="Z220" s="10" t="str">
        <x:f>XLOOKUP(H220,'区域维表'!$A$2:$A$5,'区域维表'!$B$2:$B$5,"未映射")</x:f>
        <x:v>华东</x:v>
      </x:c>
      <x:c r="AA220" s="10" t="n">
        <x:f>XLOOKUP(B220,'日期维表'!$A$2:$A$43,'日期维表'!$F$2:$F$43,0)</x:f>
        <x:v>13</x:v>
      </x:c>
    </x:row>
    <x:row r="221" ht="15" hidden="0" customHeight="1">
      <x:c r="A221" s="10" t="str">
        <x:v>SO00220</x:v>
      </x:c>
      <x:c r="B221" s="10" t="n">
        <x:v>202501</x:v>
      </x:c>
      <x:c r="C221" s="10" t="n">
        <x:v>45671</x:v>
      </x:c>
      <x:c r="D221" s="10" t="n">
        <x:v>45679</x:v>
      </x:c>
      <x:c r="E221" s="10" t="n">
        <x:v>45679</x:v>
      </x:c>
      <x:c r="F221" s="10" t="n">
        <x:v>101</x:v>
      </x:c>
      <x:c r="G221" s="10" t="n">
        <x:v>3</x:v>
      </x:c>
      <x:c r="H221" s="10" t="n">
        <x:v>4</x:v>
      </x:c>
      <x:c r="I221" s="10" t="n">
        <x:v>27</x:v>
      </x:c>
      <x:c r="J221" s="10" t="n">
        <x:v>27</x:v>
      </x:c>
      <x:c r="K221" s="64" t="n">
        <x:v>2620.81</x:v>
      </x:c>
      <x:c r="L221" s="64" t="n">
        <x:v>77760.44</x:v>
      </x:c>
      <x:c r="M221" s="64" t="n">
        <x:v>6998.44</x:v>
      </x:c>
      <x:c r="N221" s="64" t="n">
        <x:v>70762</x:v>
      </x:c>
      <x:c r="O221" s="64" t="n">
        <x:v>1816.02</x:v>
      </x:c>
      <x:c r="P221" s="64" t="n">
        <x:v>49032.67</x:v>
      </x:c>
      <x:c r="Q221" s="64" t="n">
        <x:v>21729.33</x:v>
      </x:c>
      <x:c r="R221" s="10" t="n">
        <x:v>8</x:v>
      </x:c>
      <x:c r="S221" s="10" t="n">
        <x:v>1</x:v>
      </x:c>
      <x:c r="T221" s="10" t="n">
        <x:v>1</x:v>
      </x:c>
      <x:c r="U221" s="10" t="str">
        <x:v>Completed</x:v>
      </x:c>
      <x:c r="V221" s="10" t="n">
        <x:v>30</x:v>
      </x:c>
      <x:c r="W221" s="10" t="str">
        <x:f>XLOOKUP(F221,'产品维表'!$A$2:$A$5,'产品维表'!$D$2:$D$5,"未映射")</x:f>
        <x:v>L</x:v>
      </x:c>
      <x:c r="X221" s="10" t="str">
        <x:f>XLOOKUP(F221,'产品维表'!$A$2:$A$5,'产品维表'!$B$2:$B$5,"未映射")</x:f>
        <x:v>L1</x:v>
      </x:c>
      <x:c r="Y221" s="10" t="str">
        <x:f>XLOOKUP(G221,'渠道维表'!$A$2:$A$4,'渠道维表'!$B$2:$B$4,"未映射")</x:f>
        <x:v>区域经销</x:v>
      </x:c>
      <x:c r="Z221" s="10" t="str">
        <x:f>XLOOKUP(H221,'区域维表'!$A$2:$A$5,'区域维表'!$B$2:$B$5,"未映射")</x:f>
        <x:v>中西部</x:v>
      </x:c>
      <x:c r="AA221" s="10" t="n">
        <x:f>XLOOKUP(B221,'日期维表'!$A$2:$A$43,'日期维表'!$F$2:$F$43,0)</x:f>
        <x:v>13</x:v>
      </x:c>
    </x:row>
    <x:row r="222" ht="15" hidden="0" customHeight="1">
      <x:c r="A222" s="10" t="str">
        <x:v>SO00221</x:v>
      </x:c>
      <x:c r="B222" s="10" t="n">
        <x:v>202501</x:v>
      </x:c>
      <x:c r="C222" s="10" t="n">
        <x:v>45672</x:v>
      </x:c>
      <x:c r="D222" s="10" t="n">
        <x:v>45679</x:v>
      </x:c>
      <x:c r="E222" s="10" t="n">
        <x:v>45679</x:v>
      </x:c>
      <x:c r="F222" s="10" t="n">
        <x:v>102</x:v>
      </x:c>
      <x:c r="G222" s="10" t="n">
        <x:v>2</x:v>
      </x:c>
      <x:c r="H222" s="10" t="n">
        <x:v>3</x:v>
      </x:c>
      <x:c r="I222" s="10" t="n">
        <x:v>62</x:v>
      </x:c>
      <x:c r="J222" s="10" t="n">
        <x:v>62</x:v>
      </x:c>
      <x:c r="K222" s="64" t="n">
        <x:v>2751.73</x:v>
      </x:c>
      <x:c r="L222" s="64" t="n">
        <x:v>175883.51</x:v>
      </x:c>
      <x:c r="M222" s="64" t="n">
        <x:v>5276.51</x:v>
      </x:c>
      <x:c r="N222" s="64" t="n">
        <x:v>170607</x:v>
      </x:c>
      <x:c r="O222" s="64" t="n">
        <x:v>2226.63</x:v>
      </x:c>
      <x:c r="P222" s="64" t="n">
        <x:v>138051.26</x:v>
      </x:c>
      <x:c r="Q222" s="64" t="n">
        <x:v>32555.74</x:v>
      </x:c>
      <x:c r="R222" s="10" t="n">
        <x:v>7</x:v>
      </x:c>
      <x:c r="S222" s="10" t="n">
        <x:v>1</x:v>
      </x:c>
      <x:c r="T222" s="10" t="n">
        <x:v>1</x:v>
      </x:c>
      <x:c r="U222" s="10" t="str">
        <x:v>Completed</x:v>
      </x:c>
      <x:c r="V222" s="10" t="n">
        <x:v>15</x:v>
      </x:c>
      <x:c r="W222" s="10" t="str">
        <x:f>XLOOKUP(F222,'产品维表'!$A$2:$A$5,'产品维表'!$D$2:$D$5,"未映射")</x:f>
        <x:v>L</x:v>
      </x:c>
      <x:c r="X222" s="10" t="str">
        <x:f>XLOOKUP(F222,'产品维表'!$A$2:$A$5,'产品维表'!$B$2:$B$5,"未映射")</x:f>
        <x:v>L2</x:v>
      </x:c>
      <x:c r="Y222" s="10" t="str">
        <x:f>XLOOKUP(G222,'渠道维表'!$A$2:$A$4,'渠道维表'!$B$2:$B$4,"未映射")</x:f>
        <x:v>线下零售</x:v>
      </x:c>
      <x:c r="Z222" s="10" t="str">
        <x:f>XLOOKUP(H222,'区域维表'!$A$2:$A$5,'区域维表'!$B$2:$B$5,"未映射")</x:f>
        <x:v>华北</x:v>
      </x:c>
      <x:c r="AA222" s="10" t="n">
        <x:f>XLOOKUP(B222,'日期维表'!$A$2:$A$43,'日期维表'!$F$2:$F$43,0)</x:f>
        <x:v>13</x:v>
      </x:c>
    </x:row>
    <x:row r="223" ht="15" hidden="0" customHeight="1">
      <x:c r="A223" s="10" t="str">
        <x:v>SO00222</x:v>
      </x:c>
      <x:c r="B223" s="10" t="n">
        <x:v>202501</x:v>
      </x:c>
      <x:c r="C223" s="10" t="n">
        <x:v>45664</x:v>
      </x:c>
      <x:c r="D223" s="10" t="n">
        <x:v>45675</x:v>
      </x:c>
      <x:c r="E223" s="10" t="n">
        <x:v>45679</x:v>
      </x:c>
      <x:c r="F223" s="10" t="n">
        <x:v>102</x:v>
      </x:c>
      <x:c r="G223" s="10" t="n">
        <x:v>3</x:v>
      </x:c>
      <x:c r="H223" s="10" t="n">
        <x:v>4</x:v>
      </x:c>
      <x:c r="I223" s="10" t="n">
        <x:v>30</x:v>
      </x:c>
      <x:c r="J223" s="10" t="n">
        <x:v>30</x:v>
      </x:c>
      <x:c r="K223" s="64" t="n">
        <x:v>2607.27</x:v>
      </x:c>
      <x:c r="L223" s="64" t="n">
        <x:v>85953.85</x:v>
      </x:c>
      <x:c r="M223" s="64" t="n">
        <x:v>7735.85</x:v>
      </x:c>
      <x:c r="N223" s="64" t="n">
        <x:v>78218</x:v>
      </x:c>
      <x:c r="O223" s="64" t="n">
        <x:v>1770.49</x:v>
      </x:c>
      <x:c r="P223" s="64" t="n">
        <x:v>53114.69</x:v>
      </x:c>
      <x:c r="Q223" s="64" t="n">
        <x:v>25103.31</x:v>
      </x:c>
      <x:c r="R223" s="10" t="n">
        <x:v>15</x:v>
      </x:c>
      <x:c r="S223" s="10" t="n">
        <x:v>0</x:v>
      </x:c>
      <x:c r="T223" s="10" t="n">
        <x:v>1</x:v>
      </x:c>
      <x:c r="U223" s="10" t="str">
        <x:v>Completed</x:v>
      </x:c>
      <x:c r="V223" s="10" t="n">
        <x:v>30</x:v>
      </x:c>
      <x:c r="W223" s="10" t="str">
        <x:f>XLOOKUP(F223,'产品维表'!$A$2:$A$5,'产品维表'!$D$2:$D$5,"未映射")</x:f>
        <x:v>L</x:v>
      </x:c>
      <x:c r="X223" s="10" t="str">
        <x:f>XLOOKUP(F223,'产品维表'!$A$2:$A$5,'产品维表'!$B$2:$B$5,"未映射")</x:f>
        <x:v>L2</x:v>
      </x:c>
      <x:c r="Y223" s="10" t="str">
        <x:f>XLOOKUP(G223,'渠道维表'!$A$2:$A$4,'渠道维表'!$B$2:$B$4,"未映射")</x:f>
        <x:v>区域经销</x:v>
      </x:c>
      <x:c r="Z223" s="10" t="str">
        <x:f>XLOOKUP(H223,'区域维表'!$A$2:$A$5,'区域维表'!$B$2:$B$5,"未映射")</x:f>
        <x:v>中西部</x:v>
      </x:c>
      <x:c r="AA223" s="10" t="n">
        <x:f>XLOOKUP(B223,'日期维表'!$A$2:$A$43,'日期维表'!$F$2:$F$43,0)</x:f>
        <x:v>13</x:v>
      </x:c>
    </x:row>
    <x:row r="224" ht="15" hidden="0" customHeight="1">
      <x:c r="A224" s="10" t="str">
        <x:v>SO00223</x:v>
      </x:c>
      <x:c r="B224" s="10" t="n">
        <x:v>202501</x:v>
      </x:c>
      <x:c r="C224" s="10" t="n">
        <x:v>45666</x:v>
      </x:c>
      <x:c r="D224" s="10" t="n">
        <x:v>45678</x:v>
      </x:c>
      <x:c r="E224" s="10" t="n">
        <x:v>45681</x:v>
      </x:c>
      <x:c r="F224" s="10" t="n">
        <x:v>101</x:v>
      </x:c>
      <x:c r="G224" s="10" t="n">
        <x:v>1</x:v>
      </x:c>
      <x:c r="H224" s="10" t="n">
        <x:v>1</x:v>
      </x:c>
      <x:c r="I224" s="10" t="n">
        <x:v>37</x:v>
      </x:c>
      <x:c r="J224" s="10" t="n">
        <x:v>37</x:v>
      </x:c>
      <x:c r="K224" s="64" t="n">
        <x:v>2894.16</x:v>
      </x:c>
      <x:c r="L224" s="64" t="n">
        <x:v>107084</x:v>
      </x:c>
      <x:c r="M224" s="64" t="n">
        <x:v>0</x:v>
      </x:c>
      <x:c r="N224" s="64" t="n">
        <x:v>107084</x:v>
      </x:c>
      <x:c r="O224" s="64" t="n">
        <x:v>1867.68</x:v>
      </x:c>
      <x:c r="P224" s="64" t="n">
        <x:v>69104.12</x:v>
      </x:c>
      <x:c r="Q224" s="64" t="n">
        <x:v>37979.88</x:v>
      </x:c>
      <x:c r="R224" s="10" t="n">
        <x:v>15</x:v>
      </x:c>
      <x:c r="S224" s="10" t="n">
        <x:v>0</x:v>
      </x:c>
      <x:c r="T224" s="10" t="n">
        <x:v>1</x:v>
      </x:c>
      <x:c r="U224" s="10" t="str">
        <x:v>Completed</x:v>
      </x:c>
      <x:c r="V224" s="10" t="n">
        <x:v>0</x:v>
      </x:c>
      <x:c r="W224" s="10" t="str">
        <x:f>XLOOKUP(F224,'产品维表'!$A$2:$A$5,'产品维表'!$D$2:$D$5,"未映射")</x:f>
        <x:v>L</x:v>
      </x:c>
      <x:c r="X224" s="10" t="str">
        <x:f>XLOOKUP(F224,'产品维表'!$A$2:$A$5,'产品维表'!$B$2:$B$5,"未映射")</x:f>
        <x:v>L1</x:v>
      </x:c>
      <x:c r="Y224" s="10" t="str">
        <x:f>XLOOKUP(G224,'渠道维表'!$A$2:$A$4,'渠道维表'!$B$2:$B$4,"未映射")</x:f>
        <x:v>线上直营</x:v>
      </x:c>
      <x:c r="Z224" s="10" t="str">
        <x:f>XLOOKUP(H224,'区域维表'!$A$2:$A$5,'区域维表'!$B$2:$B$5,"未映射")</x:f>
        <x:v>华东</x:v>
      </x:c>
      <x:c r="AA224" s="10" t="n">
        <x:f>XLOOKUP(B224,'日期维表'!$A$2:$A$43,'日期维表'!$F$2:$F$43,0)</x:f>
        <x:v>13</x:v>
      </x:c>
    </x:row>
    <x:row r="225" ht="15" hidden="0" customHeight="1">
      <x:c r="A225" s="10" t="str">
        <x:v>SO00224</x:v>
      </x:c>
      <x:c r="B225" s="10" t="n">
        <x:v>202501</x:v>
      </x:c>
      <x:c r="C225" s="10" t="n">
        <x:v>45667</x:v>
      </x:c>
      <x:c r="D225" s="10" t="n">
        <x:v>45679</x:v>
      </x:c>
      <x:c r="E225" s="10" t="n">
        <x:v>45679</x:v>
      </x:c>
      <x:c r="F225" s="10" t="n">
        <x:v>101</x:v>
      </x:c>
      <x:c r="G225" s="10" t="n">
        <x:v>3</x:v>
      </x:c>
      <x:c r="H225" s="10" t="n">
        <x:v>2</x:v>
      </x:c>
      <x:c r="I225" s="10" t="n">
        <x:v>33</x:v>
      </x:c>
      <x:c r="J225" s="10" t="n">
        <x:v>33</x:v>
      </x:c>
      <x:c r="K225" s="64" t="n">
        <x:v>2928.88</x:v>
      </x:c>
      <x:c r="L225" s="64" t="n">
        <x:v>106212.09</x:v>
      </x:c>
      <x:c r="M225" s="64" t="n">
        <x:v>9559.09</x:v>
      </x:c>
      <x:c r="N225" s="64" t="n">
        <x:v>96653</x:v>
      </x:c>
      <x:c r="O225" s="64" t="n">
        <x:v>1865.35</x:v>
      </x:c>
      <x:c r="P225" s="64" t="n">
        <x:v>61556.55</x:v>
      </x:c>
      <x:c r="Q225" s="64" t="n">
        <x:v>35096.45</x:v>
      </x:c>
      <x:c r="R225" s="10" t="n">
        <x:v>12</x:v>
      </x:c>
      <x:c r="S225" s="10" t="n">
        <x:v>1</x:v>
      </x:c>
      <x:c r="T225" s="10" t="n">
        <x:v>1</x:v>
      </x:c>
      <x:c r="U225" s="10" t="str">
        <x:v>Completed</x:v>
      </x:c>
      <x:c r="V225" s="10" t="n">
        <x:v>30</x:v>
      </x:c>
      <x:c r="W225" s="10" t="str">
        <x:f>XLOOKUP(F225,'产品维表'!$A$2:$A$5,'产品维表'!$D$2:$D$5,"未映射")</x:f>
        <x:v>L</x:v>
      </x:c>
      <x:c r="X225" s="10" t="str">
        <x:f>XLOOKUP(F225,'产品维表'!$A$2:$A$5,'产品维表'!$B$2:$B$5,"未映射")</x:f>
        <x:v>L1</x:v>
      </x:c>
      <x:c r="Y225" s="10" t="str">
        <x:f>XLOOKUP(G225,'渠道维表'!$A$2:$A$4,'渠道维表'!$B$2:$B$4,"未映射")</x:f>
        <x:v>区域经销</x:v>
      </x:c>
      <x:c r="Z225" s="10" t="str">
        <x:f>XLOOKUP(H225,'区域维表'!$A$2:$A$5,'区域维表'!$B$2:$B$5,"未映射")</x:f>
        <x:v>华南</x:v>
      </x:c>
      <x:c r="AA225" s="10" t="n">
        <x:f>XLOOKUP(B225,'日期维表'!$A$2:$A$43,'日期维表'!$F$2:$F$43,0)</x:f>
        <x:v>13</x:v>
      </x:c>
    </x:row>
    <x:row r="226" ht="15" hidden="0" customHeight="1">
      <x:c r="A226" s="10" t="str">
        <x:v>SO00225</x:v>
      </x:c>
      <x:c r="B226" s="10" t="n">
        <x:v>202501</x:v>
      </x:c>
      <x:c r="C226" s="10" t="n">
        <x:v>45672</x:v>
      </x:c>
      <x:c r="D226" s="10" t="n">
        <x:v>45684</x:v>
      </x:c>
      <x:c r="E226" s="10" t="n">
        <x:v>45684</x:v>
      </x:c>
      <x:c r="F226" s="10" t="n">
        <x:v>101</x:v>
      </x:c>
      <x:c r="G226" s="10" t="n">
        <x:v>2</x:v>
      </x:c>
      <x:c r="H226" s="10" t="n">
        <x:v>1</x:v>
      </x:c>
      <x:c r="I226" s="10" t="n">
        <x:v>31</x:v>
      </x:c>
      <x:c r="J226" s="10" t="n">
        <x:v>31</x:v>
      </x:c>
      <x:c r="K226" s="64" t="n">
        <x:v>2692.84</x:v>
      </x:c>
      <x:c r="L226" s="64" t="n">
        <x:v>86059.79</x:v>
      </x:c>
      <x:c r="M226" s="64" t="n">
        <x:v>2581.79</x:v>
      </x:c>
      <x:c r="N226" s="64" t="n">
        <x:v>83478</x:v>
      </x:c>
      <x:c r="O226" s="64" t="n">
        <x:v>1800.97</x:v>
      </x:c>
      <x:c r="P226" s="64" t="n">
        <x:v>55830.04</x:v>
      </x:c>
      <x:c r="Q226" s="64" t="n">
        <x:v>27647.96</x:v>
      </x:c>
      <x:c r="R226" s="10" t="n">
        <x:v>12</x:v>
      </x:c>
      <x:c r="S226" s="10" t="n">
        <x:v>1</x:v>
      </x:c>
      <x:c r="T226" s="10" t="n">
        <x:v>1</x:v>
      </x:c>
      <x:c r="U226" s="10" t="str">
        <x:v>Completed</x:v>
      </x:c>
      <x:c r="V226" s="10" t="n">
        <x:v>15</x:v>
      </x:c>
      <x:c r="W226" s="10" t="str">
        <x:f>XLOOKUP(F226,'产品维表'!$A$2:$A$5,'产品维表'!$D$2:$D$5,"未映射")</x:f>
        <x:v>L</x:v>
      </x:c>
      <x:c r="X226" s="10" t="str">
        <x:f>XLOOKUP(F226,'产品维表'!$A$2:$A$5,'产品维表'!$B$2:$B$5,"未映射")</x:f>
        <x:v>L1</x:v>
      </x:c>
      <x:c r="Y226" s="10" t="str">
        <x:f>XLOOKUP(G226,'渠道维表'!$A$2:$A$4,'渠道维表'!$B$2:$B$4,"未映射")</x:f>
        <x:v>线下零售</x:v>
      </x:c>
      <x:c r="Z226" s="10" t="str">
        <x:f>XLOOKUP(H226,'区域维表'!$A$2:$A$5,'区域维表'!$B$2:$B$5,"未映射")</x:f>
        <x:v>华东</x:v>
      </x:c>
      <x:c r="AA226" s="10" t="n">
        <x:f>XLOOKUP(B226,'日期维表'!$A$2:$A$43,'日期维表'!$F$2:$F$43,0)</x:f>
        <x:v>13</x:v>
      </x:c>
    </x:row>
    <x:row r="227" ht="15" hidden="0" customHeight="1">
      <x:c r="A227" s="10" t="str">
        <x:v>SO00226</x:v>
      </x:c>
      <x:c r="B227" s="10" t="n">
        <x:v>202501</x:v>
      </x:c>
      <x:c r="C227" s="10" t="n">
        <x:v>45679</x:v>
      </x:c>
      <x:c r="D227" s="10" t="n">
        <x:v>45690</x:v>
      </x:c>
      <x:c r="E227" s="10" t="n">
        <x:v>45690</x:v>
      </x:c>
      <x:c r="F227" s="10" t="n">
        <x:v>102</x:v>
      </x:c>
      <x:c r="G227" s="10" t="n">
        <x:v>3</x:v>
      </x:c>
      <x:c r="H227" s="10" t="n">
        <x:v>3</x:v>
      </x:c>
      <x:c r="I227" s="10" t="n">
        <x:v>52</x:v>
      </x:c>
      <x:c r="J227" s="10" t="n">
        <x:v>52</x:v>
      </x:c>
      <x:c r="K227" s="64" t="n">
        <x:v>2670</x:v>
      </x:c>
      <x:c r="L227" s="64" t="n">
        <x:v>152571.43</x:v>
      </x:c>
      <x:c r="M227" s="64" t="n">
        <x:v>13731.43</x:v>
      </x:c>
      <x:c r="N227" s="64" t="n">
        <x:v>138840</x:v>
      </x:c>
      <x:c r="O227" s="64" t="n">
        <x:v>2223.58</x:v>
      </x:c>
      <x:c r="P227" s="64" t="n">
        <x:v>115626.36</x:v>
      </x:c>
      <x:c r="Q227" s="64" t="n">
        <x:v>23213.64</x:v>
      </x:c>
      <x:c r="R227" s="10" t="n">
        <x:v>11</x:v>
      </x:c>
      <x:c r="S227" s="10" t="n">
        <x:v>1</x:v>
      </x:c>
      <x:c r="T227" s="10" t="n">
        <x:v>1</x:v>
      </x:c>
      <x:c r="U227" s="10" t="str">
        <x:v>Completed</x:v>
      </x:c>
      <x:c r="V227" s="10" t="n">
        <x:v>30</x:v>
      </x:c>
      <x:c r="W227" s="10" t="str">
        <x:f>XLOOKUP(F227,'产品维表'!$A$2:$A$5,'产品维表'!$D$2:$D$5,"未映射")</x:f>
        <x:v>L</x:v>
      </x:c>
      <x:c r="X227" s="10" t="str">
        <x:f>XLOOKUP(F227,'产品维表'!$A$2:$A$5,'产品维表'!$B$2:$B$5,"未映射")</x:f>
        <x:v>L2</x:v>
      </x:c>
      <x:c r="Y227" s="10" t="str">
        <x:f>XLOOKUP(G227,'渠道维表'!$A$2:$A$4,'渠道维表'!$B$2:$B$4,"未映射")</x:f>
        <x:v>区域经销</x:v>
      </x:c>
      <x:c r="Z227" s="10" t="str">
        <x:f>XLOOKUP(H227,'区域维表'!$A$2:$A$5,'区域维表'!$B$2:$B$5,"未映射")</x:f>
        <x:v>华北</x:v>
      </x:c>
      <x:c r="AA227" s="10" t="n">
        <x:f>XLOOKUP(B227,'日期维表'!$A$2:$A$43,'日期维表'!$F$2:$F$43,0)</x:f>
        <x:v>13</x:v>
      </x:c>
    </x:row>
    <x:row r="228" ht="15" hidden="0" customHeight="1">
      <x:c r="A228" s="10" t="str">
        <x:v>SO00227</x:v>
      </x:c>
      <x:c r="B228" s="10" t="n">
        <x:v>202501</x:v>
      </x:c>
      <x:c r="C228" s="10" t="n">
        <x:v>45669</x:v>
      </x:c>
      <x:c r="D228" s="10" t="n">
        <x:v>45675</x:v>
      </x:c>
      <x:c r="E228" s="10" t="n">
        <x:v>45675</x:v>
      </x:c>
      <x:c r="F228" s="10" t="n">
        <x:v>101</x:v>
      </x:c>
      <x:c r="G228" s="10" t="n">
        <x:v>2</x:v>
      </x:c>
      <x:c r="H228" s="10" t="n">
        <x:v>4</x:v>
      </x:c>
      <x:c r="I228" s="10" t="n">
        <x:v>45</x:v>
      </x:c>
      <x:c r="J228" s="10" t="n">
        <x:v>45</x:v>
      </x:c>
      <x:c r="K228" s="64" t="n">
        <x:v>2912.42</x:v>
      </x:c>
      <x:c r="L228" s="64" t="n">
        <x:v>135112.37</x:v>
      </x:c>
      <x:c r="M228" s="64" t="n">
        <x:v>4053.37</x:v>
      </x:c>
      <x:c r="N228" s="64" t="n">
        <x:v>131059</x:v>
      </x:c>
      <x:c r="O228" s="64" t="n">
        <x:v>1817.12</x:v>
      </x:c>
      <x:c r="P228" s="64" t="n">
        <x:v>81770.38</x:v>
      </x:c>
      <x:c r="Q228" s="64" t="n">
        <x:v>49288.62</x:v>
      </x:c>
      <x:c r="R228" s="10" t="n">
        <x:v>6</x:v>
      </x:c>
      <x:c r="S228" s="10" t="n">
        <x:v>1</x:v>
      </x:c>
      <x:c r="T228" s="10" t="n">
        <x:v>1</x:v>
      </x:c>
      <x:c r="U228" s="10" t="str">
        <x:v>Completed</x:v>
      </x:c>
      <x:c r="V228" s="10" t="n">
        <x:v>15</x:v>
      </x:c>
      <x:c r="W228" s="10" t="str">
        <x:f>XLOOKUP(F228,'产品维表'!$A$2:$A$5,'产品维表'!$D$2:$D$5,"未映射")</x:f>
        <x:v>L</x:v>
      </x:c>
      <x:c r="X228" s="10" t="str">
        <x:f>XLOOKUP(F228,'产品维表'!$A$2:$A$5,'产品维表'!$B$2:$B$5,"未映射")</x:f>
        <x:v>L1</x:v>
      </x:c>
      <x:c r="Y228" s="10" t="str">
        <x:f>XLOOKUP(G228,'渠道维表'!$A$2:$A$4,'渠道维表'!$B$2:$B$4,"未映射")</x:f>
        <x:v>线下零售</x:v>
      </x:c>
      <x:c r="Z228" s="10" t="str">
        <x:f>XLOOKUP(H228,'区域维表'!$A$2:$A$5,'区域维表'!$B$2:$B$5,"未映射")</x:f>
        <x:v>中西部</x:v>
      </x:c>
      <x:c r="AA228" s="10" t="n">
        <x:f>XLOOKUP(B228,'日期维表'!$A$2:$A$43,'日期维表'!$F$2:$F$43,0)</x:f>
        <x:v>13</x:v>
      </x:c>
    </x:row>
    <x:row r="229" ht="15" hidden="0" customHeight="1">
      <x:c r="A229" s="10" t="str">
        <x:v>SO00228</x:v>
      </x:c>
      <x:c r="B229" s="10" t="n">
        <x:v>202501</x:v>
      </x:c>
      <x:c r="C229" s="10" t="n">
        <x:v>45665</x:v>
      </x:c>
      <x:c r="D229" s="10" t="n">
        <x:v>45671</x:v>
      </x:c>
      <x:c r="E229" s="10" t="n">
        <x:v>45671</x:v>
      </x:c>
      <x:c r="F229" s="10" t="n">
        <x:v>101</x:v>
      </x:c>
      <x:c r="G229" s="10" t="n">
        <x:v>1</x:v>
      </x:c>
      <x:c r="H229" s="10" t="n">
        <x:v>3</x:v>
      </x:c>
      <x:c r="I229" s="10" t="n">
        <x:v>49</x:v>
      </x:c>
      <x:c r="J229" s="10" t="n">
        <x:v>49</x:v>
      </x:c>
      <x:c r="K229" s="64" t="n">
        <x:v>2902.08</x:v>
      </x:c>
      <x:c r="L229" s="64" t="n">
        <x:v>142202</x:v>
      </x:c>
      <x:c r="M229" s="64" t="n">
        <x:v>0</x:v>
      </x:c>
      <x:c r="N229" s="64" t="n">
        <x:v>142202</x:v>
      </x:c>
      <x:c r="O229" s="64" t="n">
        <x:v>1853.18</x:v>
      </x:c>
      <x:c r="P229" s="64" t="n">
        <x:v>90805.61</x:v>
      </x:c>
      <x:c r="Q229" s="64" t="n">
        <x:v>51396.39</x:v>
      </x:c>
      <x:c r="R229" s="10" t="n">
        <x:v>6</x:v>
      </x:c>
      <x:c r="S229" s="10" t="n">
        <x:v>1</x:v>
      </x:c>
      <x:c r="T229" s="10" t="n">
        <x:v>1</x:v>
      </x:c>
      <x:c r="U229" s="10" t="str">
        <x:v>Completed</x:v>
      </x:c>
      <x:c r="V229" s="10" t="n">
        <x:v>0</x:v>
      </x:c>
      <x:c r="W229" s="10" t="str">
        <x:f>XLOOKUP(F229,'产品维表'!$A$2:$A$5,'产品维表'!$D$2:$D$5,"未映射")</x:f>
        <x:v>L</x:v>
      </x:c>
      <x:c r="X229" s="10" t="str">
        <x:f>XLOOKUP(F229,'产品维表'!$A$2:$A$5,'产品维表'!$B$2:$B$5,"未映射")</x:f>
        <x:v>L1</x:v>
      </x:c>
      <x:c r="Y229" s="10" t="str">
        <x:f>XLOOKUP(G229,'渠道维表'!$A$2:$A$4,'渠道维表'!$B$2:$B$4,"未映射")</x:f>
        <x:v>线上直营</x:v>
      </x:c>
      <x:c r="Z229" s="10" t="str">
        <x:f>XLOOKUP(H229,'区域维表'!$A$2:$A$5,'区域维表'!$B$2:$B$5,"未映射")</x:f>
        <x:v>华北</x:v>
      </x:c>
      <x:c r="AA229" s="10" t="n">
        <x:f>XLOOKUP(B229,'日期维表'!$A$2:$A$43,'日期维表'!$F$2:$F$43,0)</x:f>
        <x:v>13</x:v>
      </x:c>
    </x:row>
    <x:row r="230" ht="15" hidden="0" customHeight="1">
      <x:c r="A230" s="10" t="str">
        <x:v>SO00229</x:v>
      </x:c>
      <x:c r="B230" s="10" t="n">
        <x:v>202502</x:v>
      </x:c>
      <x:c r="C230" s="10" t="n">
        <x:v>45700</x:v>
      </x:c>
      <x:c r="D230" s="10" t="n">
        <x:v>45711</x:v>
      </x:c>
      <x:c r="E230" s="10" t="n">
        <x:v>45711</x:v>
      </x:c>
      <x:c r="F230" s="10" t="n">
        <x:v>101</x:v>
      </x:c>
      <x:c r="G230" s="10" t="n">
        <x:v>3</x:v>
      </x:c>
      <x:c r="H230" s="10" t="n">
        <x:v>2</x:v>
      </x:c>
      <x:c r="I230" s="10" t="n">
        <x:v>44</x:v>
      </x:c>
      <x:c r="J230" s="10" t="n">
        <x:v>44</x:v>
      </x:c>
      <x:c r="K230" s="64" t="n">
        <x:v>2700.27</x:v>
      </x:c>
      <x:c r="L230" s="64" t="n">
        <x:v>130562.64</x:v>
      </x:c>
      <x:c r="M230" s="64" t="n">
        <x:v>11750.64</x:v>
      </x:c>
      <x:c r="N230" s="64" t="n">
        <x:v>118812</x:v>
      </x:c>
      <x:c r="O230" s="64" t="n">
        <x:v>1823.96</x:v>
      </x:c>
      <x:c r="P230" s="64" t="n">
        <x:v>80254.29</x:v>
      </x:c>
      <x:c r="Q230" s="64" t="n">
        <x:v>38557.71</x:v>
      </x:c>
      <x:c r="R230" s="10" t="n">
        <x:v>11</x:v>
      </x:c>
      <x:c r="S230" s="10" t="n">
        <x:v>1</x:v>
      </x:c>
      <x:c r="T230" s="10" t="n">
        <x:v>1</x:v>
      </x:c>
      <x:c r="U230" s="10" t="str">
        <x:v>Completed</x:v>
      </x:c>
      <x:c r="V230" s="10" t="n">
        <x:v>30</x:v>
      </x:c>
      <x:c r="W230" s="10" t="str">
        <x:f>XLOOKUP(F230,'产品维表'!$A$2:$A$5,'产品维表'!$D$2:$D$5,"未映射")</x:f>
        <x:v>L</x:v>
      </x:c>
      <x:c r="X230" s="10" t="str">
        <x:f>XLOOKUP(F230,'产品维表'!$A$2:$A$5,'产品维表'!$B$2:$B$5,"未映射")</x:f>
        <x:v>L1</x:v>
      </x:c>
      <x:c r="Y230" s="10" t="str">
        <x:f>XLOOKUP(G230,'渠道维表'!$A$2:$A$4,'渠道维表'!$B$2:$B$4,"未映射")</x:f>
        <x:v>区域经销</x:v>
      </x:c>
      <x:c r="Z230" s="10" t="str">
        <x:f>XLOOKUP(H230,'区域维表'!$A$2:$A$5,'区域维表'!$B$2:$B$5,"未映射")</x:f>
        <x:v>华南</x:v>
      </x:c>
      <x:c r="AA230" s="10" t="n">
        <x:f>XLOOKUP(B230,'日期维表'!$A$2:$A$43,'日期维表'!$F$2:$F$43,0)</x:f>
        <x:v>13</x:v>
      </x:c>
    </x:row>
    <x:row r="231" ht="15" hidden="0" customHeight="1">
      <x:c r="A231" s="10" t="str">
        <x:v>SO00230</x:v>
      </x:c>
      <x:c r="B231" s="10" t="n">
        <x:v>202502</x:v>
      </x:c>
      <x:c r="C231" s="10" t="n">
        <x:v>45712</x:v>
      </x:c>
      <x:c r="D231" s="10" t="n">
        <x:v>45718</x:v>
      </x:c>
      <x:c r="E231" s="10" t="n">
        <x:v>45718</x:v>
      </x:c>
      <x:c r="F231" s="10" t="n">
        <x:v>101</x:v>
      </x:c>
      <x:c r="G231" s="10" t="n">
        <x:v>1</x:v>
      </x:c>
      <x:c r="H231" s="10" t="n">
        <x:v>1</x:v>
      </x:c>
      <x:c r="I231" s="10" t="n">
        <x:v>24</x:v>
      </x:c>
      <x:c r="J231" s="10" t="n">
        <x:v>24</x:v>
      </x:c>
      <x:c r="K231" s="64" t="n">
        <x:v>2677.83</x:v>
      </x:c>
      <x:c r="L231" s="64" t="n">
        <x:v>64268</x:v>
      </x:c>
      <x:c r="M231" s="64" t="n">
        <x:v>0</x:v>
      </x:c>
      <x:c r="N231" s="64" t="n">
        <x:v>64268</x:v>
      </x:c>
      <x:c r="O231" s="64" t="n">
        <x:v>1852.9</x:v>
      </x:c>
      <x:c r="P231" s="64" t="n">
        <x:v>44469.51</x:v>
      </x:c>
      <x:c r="Q231" s="64" t="n">
        <x:v>19798.49</x:v>
      </x:c>
      <x:c r="R231" s="10" t="n">
        <x:v>6</x:v>
      </x:c>
      <x:c r="S231" s="10" t="n">
        <x:v>1</x:v>
      </x:c>
      <x:c r="T231" s="10" t="n">
        <x:v>1</x:v>
      </x:c>
      <x:c r="U231" s="10" t="str">
        <x:v>Completed</x:v>
      </x:c>
      <x:c r="V231" s="10" t="n">
        <x:v>0</x:v>
      </x:c>
      <x:c r="W231" s="10" t="str">
        <x:f>XLOOKUP(F231,'产品维表'!$A$2:$A$5,'产品维表'!$D$2:$D$5,"未映射")</x:f>
        <x:v>L</x:v>
      </x:c>
      <x:c r="X231" s="10" t="str">
        <x:f>XLOOKUP(F231,'产品维表'!$A$2:$A$5,'产品维表'!$B$2:$B$5,"未映射")</x:f>
        <x:v>L1</x:v>
      </x:c>
      <x:c r="Y231" s="10" t="str">
        <x:f>XLOOKUP(G231,'渠道维表'!$A$2:$A$4,'渠道维表'!$B$2:$B$4,"未映射")</x:f>
        <x:v>线上直营</x:v>
      </x:c>
      <x:c r="Z231" s="10" t="str">
        <x:f>XLOOKUP(H231,'区域维表'!$A$2:$A$5,'区域维表'!$B$2:$B$5,"未映射")</x:f>
        <x:v>华东</x:v>
      </x:c>
      <x:c r="AA231" s="10" t="n">
        <x:f>XLOOKUP(B231,'日期维表'!$A$2:$A$43,'日期维表'!$F$2:$F$43,0)</x:f>
        <x:v>13</x:v>
      </x:c>
    </x:row>
    <x:row r="232" ht="15" hidden="0" customHeight="1">
      <x:c r="A232" s="10" t="str">
        <x:v>SO00231</x:v>
      </x:c>
      <x:c r="B232" s="10" t="n">
        <x:v>202502</x:v>
      </x:c>
      <x:c r="C232" s="10" t="n">
        <x:v>45701</x:v>
      </x:c>
      <x:c r="D232" s="10" t="n">
        <x:v>45711</x:v>
      </x:c>
      <x:c r="E232" s="10" t="n">
        <x:v>45711</x:v>
      </x:c>
      <x:c r="F232" s="10" t="n">
        <x:v>101</x:v>
      </x:c>
      <x:c r="G232" s="10" t="n">
        <x:v>3</x:v>
      </x:c>
      <x:c r="H232" s="10" t="n">
        <x:v>2</x:v>
      </x:c>
      <x:c r="I232" s="10" t="n">
        <x:v>48</x:v>
      </x:c>
      <x:c r="J232" s="10" t="n">
        <x:v>48</x:v>
      </x:c>
      <x:c r="K232" s="64" t="n">
        <x:v>2591.21</x:v>
      </x:c>
      <x:c r="L232" s="64" t="n">
        <x:v>136679.12</x:v>
      </x:c>
      <x:c r="M232" s="64" t="n">
        <x:v>12301.12</x:v>
      </x:c>
      <x:c r="N232" s="64" t="n">
        <x:v>124378</x:v>
      </x:c>
      <x:c r="O232" s="64" t="n">
        <x:v>1811.03</x:v>
      </x:c>
      <x:c r="P232" s="64" t="n">
        <x:v>86929.42</x:v>
      </x:c>
      <x:c r="Q232" s="64" t="n">
        <x:v>37448.58</x:v>
      </x:c>
      <x:c r="R232" s="10" t="n">
        <x:v>10</x:v>
      </x:c>
      <x:c r="S232" s="10" t="n">
        <x:v>1</x:v>
      </x:c>
      <x:c r="T232" s="10" t="n">
        <x:v>1</x:v>
      </x:c>
      <x:c r="U232" s="10" t="str">
        <x:v>Completed</x:v>
      </x:c>
      <x:c r="V232" s="10" t="n">
        <x:v>30</x:v>
      </x:c>
      <x:c r="W232" s="10" t="str">
        <x:f>XLOOKUP(F232,'产品维表'!$A$2:$A$5,'产品维表'!$D$2:$D$5,"未映射")</x:f>
        <x:v>L</x:v>
      </x:c>
      <x:c r="X232" s="10" t="str">
        <x:f>XLOOKUP(F232,'产品维表'!$A$2:$A$5,'产品维表'!$B$2:$B$5,"未映射")</x:f>
        <x:v>L1</x:v>
      </x:c>
      <x:c r="Y232" s="10" t="str">
        <x:f>XLOOKUP(G232,'渠道维表'!$A$2:$A$4,'渠道维表'!$B$2:$B$4,"未映射")</x:f>
        <x:v>区域经销</x:v>
      </x:c>
      <x:c r="Z232" s="10" t="str">
        <x:f>XLOOKUP(H232,'区域维表'!$A$2:$A$5,'区域维表'!$B$2:$B$5,"未映射")</x:f>
        <x:v>华南</x:v>
      </x:c>
      <x:c r="AA232" s="10" t="n">
        <x:f>XLOOKUP(B232,'日期维表'!$A$2:$A$43,'日期维表'!$F$2:$F$43,0)</x:f>
        <x:v>13</x:v>
      </x:c>
    </x:row>
    <x:row r="233" ht="15" hidden="0" customHeight="1">
      <x:c r="A233" s="10" t="str">
        <x:v>SO00232</x:v>
      </x:c>
      <x:c r="B233" s="10" t="n">
        <x:v>202502</x:v>
      </x:c>
      <x:c r="C233" s="10" t="n">
        <x:v>45707</x:v>
      </x:c>
      <x:c r="D233" s="10" t="n">
        <x:v>45713</x:v>
      </x:c>
      <x:c r="E233" s="10" t="n">
        <x:v>45713</x:v>
      </x:c>
      <x:c r="F233" s="10" t="n">
        <x:v>102</x:v>
      </x:c>
      <x:c r="G233" s="10" t="n">
        <x:v>1</x:v>
      </x:c>
      <x:c r="H233" s="10" t="n">
        <x:v>1</x:v>
      </x:c>
      <x:c r="I233" s="10" t="n">
        <x:v>62</x:v>
      </x:c>
      <x:c r="J233" s="10" t="n">
        <x:v>62</x:v>
      </x:c>
      <x:c r="K233" s="64" t="n">
        <x:v>2772.79</x:v>
      </x:c>
      <x:c r="L233" s="64" t="n">
        <x:v>171913</x:v>
      </x:c>
      <x:c r="M233" s="64" t="n">
        <x:v>0</x:v>
      </x:c>
      <x:c r="N233" s="64" t="n">
        <x:v>171913</x:v>
      </x:c>
      <x:c r="O233" s="64" t="n">
        <x:v>2229.34</x:v>
      </x:c>
      <x:c r="P233" s="64" t="n">
        <x:v>138218.97</x:v>
      </x:c>
      <x:c r="Q233" s="64" t="n">
        <x:v>33694.03</x:v>
      </x:c>
      <x:c r="R233" s="10" t="n">
        <x:v>6</x:v>
      </x:c>
      <x:c r="S233" s="10" t="n">
        <x:v>1</x:v>
      </x:c>
      <x:c r="T233" s="10" t="n">
        <x:v>1</x:v>
      </x:c>
      <x:c r="U233" s="10" t="str">
        <x:v>Completed</x:v>
      </x:c>
      <x:c r="V233" s="10" t="n">
        <x:v>0</x:v>
      </x:c>
      <x:c r="W233" s="10" t="str">
        <x:f>XLOOKUP(F233,'产品维表'!$A$2:$A$5,'产品维表'!$D$2:$D$5,"未映射")</x:f>
        <x:v>L</x:v>
      </x:c>
      <x:c r="X233" s="10" t="str">
        <x:f>XLOOKUP(F233,'产品维表'!$A$2:$A$5,'产品维表'!$B$2:$B$5,"未映射")</x:f>
        <x:v>L2</x:v>
      </x:c>
      <x:c r="Y233" s="10" t="str">
        <x:f>XLOOKUP(G233,'渠道维表'!$A$2:$A$4,'渠道维表'!$B$2:$B$4,"未映射")</x:f>
        <x:v>线上直营</x:v>
      </x:c>
      <x:c r="Z233" s="10" t="str">
        <x:f>XLOOKUP(H233,'区域维表'!$A$2:$A$5,'区域维表'!$B$2:$B$5,"未映射")</x:f>
        <x:v>华东</x:v>
      </x:c>
      <x:c r="AA233" s="10" t="n">
        <x:f>XLOOKUP(B233,'日期维表'!$A$2:$A$43,'日期维表'!$F$2:$F$43,0)</x:f>
        <x:v>13</x:v>
      </x:c>
    </x:row>
    <x:row r="234" ht="15" hidden="0" customHeight="1">
      <x:c r="A234" s="10" t="str">
        <x:v>SO00233</x:v>
      </x:c>
      <x:c r="B234" s="10" t="n">
        <x:v>202502</x:v>
      </x:c>
      <x:c r="C234" s="10" t="n">
        <x:v>45697</x:v>
      </x:c>
      <x:c r="D234" s="10" t="n">
        <x:v>45707</x:v>
      </x:c>
      <x:c r="E234" s="10" t="n">
        <x:v>45707</x:v>
      </x:c>
      <x:c r="F234" s="10" t="n">
        <x:v>102</x:v>
      </x:c>
      <x:c r="G234" s="10" t="n">
        <x:v>2</x:v>
      </x:c>
      <x:c r="H234" s="10" t="n">
        <x:v>1</x:v>
      </x:c>
      <x:c r="I234" s="10" t="n">
        <x:v>52</x:v>
      </x:c>
      <x:c r="J234" s="10" t="n">
        <x:v>52</x:v>
      </x:c>
      <x:c r="K234" s="64" t="n">
        <x:v>2760.81</x:v>
      </x:c>
      <x:c r="L234" s="64" t="n">
        <x:v>148002.06</x:v>
      </x:c>
      <x:c r="M234" s="64" t="n">
        <x:v>4440.06</x:v>
      </x:c>
      <x:c r="N234" s="64" t="n">
        <x:v>143562</x:v>
      </x:c>
      <x:c r="O234" s="64" t="n">
        <x:v>2244.48</x:v>
      </x:c>
      <x:c r="P234" s="64" t="n">
        <x:v>116713.02</x:v>
      </x:c>
      <x:c r="Q234" s="64" t="n">
        <x:v>26848.98</x:v>
      </x:c>
      <x:c r="R234" s="10" t="n">
        <x:v>10</x:v>
      </x:c>
      <x:c r="S234" s="10" t="n">
        <x:v>1</x:v>
      </x:c>
      <x:c r="T234" s="10" t="n">
        <x:v>1</x:v>
      </x:c>
      <x:c r="U234" s="10" t="str">
        <x:v>Completed</x:v>
      </x:c>
      <x:c r="V234" s="10" t="n">
        <x:v>15</x:v>
      </x:c>
      <x:c r="W234" s="10" t="str">
        <x:f>XLOOKUP(F234,'产品维表'!$A$2:$A$5,'产品维表'!$D$2:$D$5,"未映射")</x:f>
        <x:v>L</x:v>
      </x:c>
      <x:c r="X234" s="10" t="str">
        <x:f>XLOOKUP(F234,'产品维表'!$A$2:$A$5,'产品维表'!$B$2:$B$5,"未映射")</x:f>
        <x:v>L2</x:v>
      </x:c>
      <x:c r="Y234" s="10" t="str">
        <x:f>XLOOKUP(G234,'渠道维表'!$A$2:$A$4,'渠道维表'!$B$2:$B$4,"未映射")</x:f>
        <x:v>线下零售</x:v>
      </x:c>
      <x:c r="Z234" s="10" t="str">
        <x:f>XLOOKUP(H234,'区域维表'!$A$2:$A$5,'区域维表'!$B$2:$B$5,"未映射")</x:f>
        <x:v>华东</x:v>
      </x:c>
      <x:c r="AA234" s="10" t="n">
        <x:f>XLOOKUP(B234,'日期维表'!$A$2:$A$43,'日期维表'!$F$2:$F$43,0)</x:f>
        <x:v>13</x:v>
      </x:c>
    </x:row>
    <x:row r="235" ht="15" hidden="0" customHeight="1">
      <x:c r="A235" s="10" t="str">
        <x:v>SO00234</x:v>
      </x:c>
      <x:c r="B235" s="10" t="n">
        <x:v>202502</x:v>
      </x:c>
      <x:c r="C235" s="10" t="n">
        <x:v>45708</x:v>
      </x:c>
      <x:c r="D235" s="10" t="n">
        <x:v>45717</x:v>
      </x:c>
      <x:c r="E235" s="10" t="n">
        <x:v>45717</x:v>
      </x:c>
      <x:c r="F235" s="10" t="n">
        <x:v>101</x:v>
      </x:c>
      <x:c r="G235" s="10" t="n">
        <x:v>1</x:v>
      </x:c>
      <x:c r="H235" s="10" t="n">
        <x:v>3</x:v>
      </x:c>
      <x:c r="I235" s="10" t="n">
        <x:v>27</x:v>
      </x:c>
      <x:c r="J235" s="10" t="n">
        <x:v>27</x:v>
      </x:c>
      <x:c r="K235" s="64" t="n">
        <x:v>2742.44</x:v>
      </x:c>
      <x:c r="L235" s="64" t="n">
        <x:v>74046</x:v>
      </x:c>
      <x:c r="M235" s="64" t="n">
        <x:v>0</x:v>
      </x:c>
      <x:c r="N235" s="64" t="n">
        <x:v>74046</x:v>
      </x:c>
      <x:c r="O235" s="64" t="n">
        <x:v>1846.3</x:v>
      </x:c>
      <x:c r="P235" s="64" t="n">
        <x:v>49849.99</x:v>
      </x:c>
      <x:c r="Q235" s="64" t="n">
        <x:v>24196.01</x:v>
      </x:c>
      <x:c r="R235" s="10" t="n">
        <x:v>9</x:v>
      </x:c>
      <x:c r="S235" s="10" t="n">
        <x:v>1</x:v>
      </x:c>
      <x:c r="T235" s="10" t="n">
        <x:v>1</x:v>
      </x:c>
      <x:c r="U235" s="10" t="str">
        <x:v>Completed</x:v>
      </x:c>
      <x:c r="V235" s="10" t="n">
        <x:v>0</x:v>
      </x:c>
      <x:c r="W235" s="10" t="str">
        <x:f>XLOOKUP(F235,'产品维表'!$A$2:$A$5,'产品维表'!$D$2:$D$5,"未映射")</x:f>
        <x:v>L</x:v>
      </x:c>
      <x:c r="X235" s="10" t="str">
        <x:f>XLOOKUP(F235,'产品维表'!$A$2:$A$5,'产品维表'!$B$2:$B$5,"未映射")</x:f>
        <x:v>L1</x:v>
      </x:c>
      <x:c r="Y235" s="10" t="str">
        <x:f>XLOOKUP(G235,'渠道维表'!$A$2:$A$4,'渠道维表'!$B$2:$B$4,"未映射")</x:f>
        <x:v>线上直营</x:v>
      </x:c>
      <x:c r="Z235" s="10" t="str">
        <x:f>XLOOKUP(H235,'区域维表'!$A$2:$A$5,'区域维表'!$B$2:$B$5,"未映射")</x:f>
        <x:v>华北</x:v>
      </x:c>
      <x:c r="AA235" s="10" t="n">
        <x:f>XLOOKUP(B235,'日期维表'!$A$2:$A$43,'日期维表'!$F$2:$F$43,0)</x:f>
        <x:v>13</x:v>
      </x:c>
    </x:row>
    <x:row r="236" ht="15" hidden="0" customHeight="1">
      <x:c r="A236" s="10" t="str">
        <x:v>SO00235</x:v>
      </x:c>
      <x:c r="B236" s="10" t="n">
        <x:v>202502</x:v>
      </x:c>
      <x:c r="C236" s="10" t="n">
        <x:v>45707</x:v>
      </x:c>
      <x:c r="D236" s="10" t="n">
        <x:v>45713</x:v>
      </x:c>
      <x:c r="E236" s="10" t="n">
        <x:v>45713</x:v>
      </x:c>
      <x:c r="F236" s="10" t="n">
        <x:v>102</x:v>
      </x:c>
      <x:c r="G236" s="10" t="n">
        <x:v>1</x:v>
      </x:c>
      <x:c r="H236" s="10" t="n">
        <x:v>3</x:v>
      </x:c>
      <x:c r="I236" s="10" t="n">
        <x:v>61</x:v>
      </x:c>
      <x:c r="J236" s="10" t="n">
        <x:v>61</x:v>
      </x:c>
      <x:c r="K236" s="64" t="n">
        <x:v>2808.67</x:v>
      </x:c>
      <x:c r="L236" s="64" t="n">
        <x:v>171329</x:v>
      </x:c>
      <x:c r="M236" s="64" t="n">
        <x:v>0</x:v>
      </x:c>
      <x:c r="N236" s="64" t="n">
        <x:v>171329</x:v>
      </x:c>
      <x:c r="O236" s="64" t="n">
        <x:v>2204.82</x:v>
      </x:c>
      <x:c r="P236" s="64" t="n">
        <x:v>134494.24</x:v>
      </x:c>
      <x:c r="Q236" s="64" t="n">
        <x:v>36834.76</x:v>
      </x:c>
      <x:c r="R236" s="10" t="n">
        <x:v>6</x:v>
      </x:c>
      <x:c r="S236" s="10" t="n">
        <x:v>1</x:v>
      </x:c>
      <x:c r="T236" s="10" t="n">
        <x:v>1</x:v>
      </x:c>
      <x:c r="U236" s="10" t="str">
        <x:v>Completed</x:v>
      </x:c>
      <x:c r="V236" s="10" t="n">
        <x:v>0</x:v>
      </x:c>
      <x:c r="W236" s="10" t="str">
        <x:f>XLOOKUP(F236,'产品维表'!$A$2:$A$5,'产品维表'!$D$2:$D$5,"未映射")</x:f>
        <x:v>L</x:v>
      </x:c>
      <x:c r="X236" s="10" t="str">
        <x:f>XLOOKUP(F236,'产品维表'!$A$2:$A$5,'产品维表'!$B$2:$B$5,"未映射")</x:f>
        <x:v>L2</x:v>
      </x:c>
      <x:c r="Y236" s="10" t="str">
        <x:f>XLOOKUP(G236,'渠道维表'!$A$2:$A$4,'渠道维表'!$B$2:$B$4,"未映射")</x:f>
        <x:v>线上直营</x:v>
      </x:c>
      <x:c r="Z236" s="10" t="str">
        <x:f>XLOOKUP(H236,'区域维表'!$A$2:$A$5,'区域维表'!$B$2:$B$5,"未映射")</x:f>
        <x:v>华北</x:v>
      </x:c>
      <x:c r="AA236" s="10" t="n">
        <x:f>XLOOKUP(B236,'日期维表'!$A$2:$A$43,'日期维表'!$F$2:$F$43,0)</x:f>
        <x:v>13</x:v>
      </x:c>
    </x:row>
    <x:row r="237" ht="15" hidden="0" customHeight="1">
      <x:c r="A237" s="10" t="str">
        <x:v>SO00236</x:v>
      </x:c>
      <x:c r="B237" s="10" t="n">
        <x:v>202502</x:v>
      </x:c>
      <x:c r="C237" s="10" t="n">
        <x:v>45694</x:v>
      </x:c>
      <x:c r="D237" s="10" t="n">
        <x:v>45703</x:v>
      </x:c>
      <x:c r="E237" s="10" t="n">
        <x:v>45703</x:v>
      </x:c>
      <x:c r="F237" s="10" t="n">
        <x:v>101</x:v>
      </x:c>
      <x:c r="G237" s="10" t="n">
        <x:v>3</x:v>
      </x:c>
      <x:c r="H237" s="10" t="n">
        <x:v>3</x:v>
      </x:c>
      <x:c r="I237" s="10" t="n">
        <x:v>31</x:v>
      </x:c>
      <x:c r="J237" s="10" t="n">
        <x:v>31</x:v>
      </x:c>
      <x:c r="K237" s="64" t="n">
        <x:v>2808.1</x:v>
      </x:c>
      <x:c r="L237" s="64" t="n">
        <x:v>95660.44</x:v>
      </x:c>
      <x:c r="M237" s="64" t="n">
        <x:v>8609.44</x:v>
      </x:c>
      <x:c r="N237" s="64" t="n">
        <x:v>87051</x:v>
      </x:c>
      <x:c r="O237" s="64" t="n">
        <x:v>1801.67</x:v>
      </x:c>
      <x:c r="P237" s="64" t="n">
        <x:v>55851.69</x:v>
      </x:c>
      <x:c r="Q237" s="64" t="n">
        <x:v>31199.31</x:v>
      </x:c>
      <x:c r="R237" s="10" t="n">
        <x:v>9</x:v>
      </x:c>
      <x:c r="S237" s="10" t="n">
        <x:v>1</x:v>
      </x:c>
      <x:c r="T237" s="10" t="n">
        <x:v>1</x:v>
      </x:c>
      <x:c r="U237" s="10" t="str">
        <x:v>Completed</x:v>
      </x:c>
      <x:c r="V237" s="10" t="n">
        <x:v>30</x:v>
      </x:c>
      <x:c r="W237" s="10" t="str">
        <x:f>XLOOKUP(F237,'产品维表'!$A$2:$A$5,'产品维表'!$D$2:$D$5,"未映射")</x:f>
        <x:v>L</x:v>
      </x:c>
      <x:c r="X237" s="10" t="str">
        <x:f>XLOOKUP(F237,'产品维表'!$A$2:$A$5,'产品维表'!$B$2:$B$5,"未映射")</x:f>
        <x:v>L1</x:v>
      </x:c>
      <x:c r="Y237" s="10" t="str">
        <x:f>XLOOKUP(G237,'渠道维表'!$A$2:$A$4,'渠道维表'!$B$2:$B$4,"未映射")</x:f>
        <x:v>区域经销</x:v>
      </x:c>
      <x:c r="Z237" s="10" t="str">
        <x:f>XLOOKUP(H237,'区域维表'!$A$2:$A$5,'区域维表'!$B$2:$B$5,"未映射")</x:f>
        <x:v>华北</x:v>
      </x:c>
      <x:c r="AA237" s="10" t="n">
        <x:f>XLOOKUP(B237,'日期维表'!$A$2:$A$43,'日期维表'!$F$2:$F$43,0)</x:f>
        <x:v>13</x:v>
      </x:c>
    </x:row>
    <x:row r="238" ht="15" hidden="0" customHeight="1">
      <x:c r="A238" s="10" t="str">
        <x:v>SO00237</x:v>
      </x:c>
      <x:c r="B238" s="10" t="n">
        <x:v>202502</x:v>
      </x:c>
      <x:c r="C238" s="10" t="n">
        <x:v>45695</x:v>
      </x:c>
      <x:c r="D238" s="10" t="n">
        <x:v>45705</x:v>
      </x:c>
      <x:c r="E238" s="10" t="n">
        <x:v>45705</x:v>
      </x:c>
      <x:c r="F238" s="10" t="n">
        <x:v>102</x:v>
      </x:c>
      <x:c r="G238" s="10" t="n">
        <x:v>1</x:v>
      </x:c>
      <x:c r="H238" s="10" t="n">
        <x:v>1</x:v>
      </x:c>
      <x:c r="I238" s="10" t="n">
        <x:v>30</x:v>
      </x:c>
      <x:c r="J238" s="10" t="n">
        <x:v>30</x:v>
      </x:c>
      <x:c r="K238" s="64" t="n">
        <x:v>2784.17</x:v>
      </x:c>
      <x:c r="L238" s="64" t="n">
        <x:v>83525</x:v>
      </x:c>
      <x:c r="M238" s="64" t="n">
        <x:v>0</x:v>
      </x:c>
      <x:c r="N238" s="64" t="n">
        <x:v>83525</x:v>
      </x:c>
      <x:c r="O238" s="64" t="n">
        <x:v>2281.15</x:v>
      </x:c>
      <x:c r="P238" s="64" t="n">
        <x:v>68434.6</x:v>
      </x:c>
      <x:c r="Q238" s="64" t="n">
        <x:v>15090.4</x:v>
      </x:c>
      <x:c r="R238" s="10" t="n">
        <x:v>10</x:v>
      </x:c>
      <x:c r="S238" s="10" t="n">
        <x:v>1</x:v>
      </x:c>
      <x:c r="T238" s="10" t="n">
        <x:v>1</x:v>
      </x:c>
      <x:c r="U238" s="10" t="str">
        <x:v>Completed</x:v>
      </x:c>
      <x:c r="V238" s="10" t="n">
        <x:v>0</x:v>
      </x:c>
      <x:c r="W238" s="10" t="str">
        <x:f>XLOOKUP(F238,'产品维表'!$A$2:$A$5,'产品维表'!$D$2:$D$5,"未映射")</x:f>
        <x:v>L</x:v>
      </x:c>
      <x:c r="X238" s="10" t="str">
        <x:f>XLOOKUP(F238,'产品维表'!$A$2:$A$5,'产品维表'!$B$2:$B$5,"未映射")</x:f>
        <x:v>L2</x:v>
      </x:c>
      <x:c r="Y238" s="10" t="str">
        <x:f>XLOOKUP(G238,'渠道维表'!$A$2:$A$4,'渠道维表'!$B$2:$B$4,"未映射")</x:f>
        <x:v>线上直营</x:v>
      </x:c>
      <x:c r="Z238" s="10" t="str">
        <x:f>XLOOKUP(H238,'区域维表'!$A$2:$A$5,'区域维表'!$B$2:$B$5,"未映射")</x:f>
        <x:v>华东</x:v>
      </x:c>
      <x:c r="AA238" s="10" t="n">
        <x:f>XLOOKUP(B238,'日期维表'!$A$2:$A$43,'日期维表'!$F$2:$F$43,0)</x:f>
        <x:v>13</x:v>
      </x:c>
    </x:row>
    <x:row r="239" ht="15" hidden="0" customHeight="1">
      <x:c r="A239" s="10" t="str">
        <x:v>SO00238</x:v>
      </x:c>
      <x:c r="B239" s="10" t="n">
        <x:v>202502</x:v>
      </x:c>
      <x:c r="C239" s="10" t="n">
        <x:v>45712</x:v>
      </x:c>
      <x:c r="D239" s="10" t="n">
        <x:v>45724</x:v>
      </x:c>
      <x:c r="E239" s="10" t="n">
        <x:v>45724</x:v>
      </x:c>
      <x:c r="F239" s="10" t="n">
        <x:v>102</x:v>
      </x:c>
      <x:c r="G239" s="10" t="n">
        <x:v>1</x:v>
      </x:c>
      <x:c r="H239" s="10" t="n">
        <x:v>3</x:v>
      </x:c>
      <x:c r="I239" s="10" t="n">
        <x:v>39</x:v>
      </x:c>
      <x:c r="J239" s="10" t="n">
        <x:v>39</x:v>
      </x:c>
      <x:c r="K239" s="64" t="n">
        <x:v>2750.36</x:v>
      </x:c>
      <x:c r="L239" s="64" t="n">
        <x:v>107264</x:v>
      </x:c>
      <x:c r="M239" s="64" t="n">
        <x:v>0</x:v>
      </x:c>
      <x:c r="N239" s="64" t="n">
        <x:v>107264</x:v>
      </x:c>
      <x:c r="O239" s="64" t="n">
        <x:v>2231.2</x:v>
      </x:c>
      <x:c r="P239" s="64" t="n">
        <x:v>87016.76</x:v>
      </x:c>
      <x:c r="Q239" s="64" t="n">
        <x:v>20247.24</x:v>
      </x:c>
      <x:c r="R239" s="10" t="n">
        <x:v>12</x:v>
      </x:c>
      <x:c r="S239" s="10" t="n">
        <x:v>1</x:v>
      </x:c>
      <x:c r="T239" s="10" t="n">
        <x:v>1</x:v>
      </x:c>
      <x:c r="U239" s="10" t="str">
        <x:v>Completed</x:v>
      </x:c>
      <x:c r="V239" s="10" t="n">
        <x:v>0</x:v>
      </x:c>
      <x:c r="W239" s="10" t="str">
        <x:f>XLOOKUP(F239,'产品维表'!$A$2:$A$5,'产品维表'!$D$2:$D$5,"未映射")</x:f>
        <x:v>L</x:v>
      </x:c>
      <x:c r="X239" s="10" t="str">
        <x:f>XLOOKUP(F239,'产品维表'!$A$2:$A$5,'产品维表'!$B$2:$B$5,"未映射")</x:f>
        <x:v>L2</x:v>
      </x:c>
      <x:c r="Y239" s="10" t="str">
        <x:f>XLOOKUP(G239,'渠道维表'!$A$2:$A$4,'渠道维表'!$B$2:$B$4,"未映射")</x:f>
        <x:v>线上直营</x:v>
      </x:c>
      <x:c r="Z239" s="10" t="str">
        <x:f>XLOOKUP(H239,'区域维表'!$A$2:$A$5,'区域维表'!$B$2:$B$5,"未映射")</x:f>
        <x:v>华北</x:v>
      </x:c>
      <x:c r="AA239" s="10" t="n">
        <x:f>XLOOKUP(B239,'日期维表'!$A$2:$A$43,'日期维表'!$F$2:$F$43,0)</x:f>
        <x:v>13</x:v>
      </x:c>
    </x:row>
    <x:row r="240" ht="15" hidden="0" customHeight="1">
      <x:c r="A240" s="10" t="str">
        <x:v>SO00239</x:v>
      </x:c>
      <x:c r="B240" s="10" t="n">
        <x:v>202502</x:v>
      </x:c>
      <x:c r="C240" s="10" t="n">
        <x:v>45712</x:v>
      </x:c>
      <x:c r="D240" s="10" t="n">
        <x:v>45723</x:v>
      </x:c>
      <x:c r="E240" s="10" t="n">
        <x:v>45727</x:v>
      </x:c>
      <x:c r="F240" s="10" t="n">
        <x:v>102</x:v>
      </x:c>
      <x:c r="G240" s="10" t="n">
        <x:v>3</x:v>
      </x:c>
      <x:c r="H240" s="10" t="n">
        <x:v>2</x:v>
      </x:c>
      <x:c r="I240" s="10" t="n">
        <x:v>35</x:v>
      </x:c>
      <x:c r="J240" s="10" t="n">
        <x:v>35</x:v>
      </x:c>
      <x:c r="K240" s="64" t="n">
        <x:v>2707.4</x:v>
      </x:c>
      <x:c r="L240" s="64" t="n">
        <x:v>104130.77</x:v>
      </x:c>
      <x:c r="M240" s="64" t="n">
        <x:v>9371.77</x:v>
      </x:c>
      <x:c r="N240" s="64" t="n">
        <x:v>94759</x:v>
      </x:c>
      <x:c r="O240" s="64" t="n">
        <x:v>2276.85</x:v>
      </x:c>
      <x:c r="P240" s="64" t="n">
        <x:v>79689.73</x:v>
      </x:c>
      <x:c r="Q240" s="64" t="n">
        <x:v>15069.27</x:v>
      </x:c>
      <x:c r="R240" s="10" t="n">
        <x:v>15</x:v>
      </x:c>
      <x:c r="S240" s="10" t="n">
        <x:v>0</x:v>
      </x:c>
      <x:c r="T240" s="10" t="n">
        <x:v>1</x:v>
      </x:c>
      <x:c r="U240" s="10" t="str">
        <x:v>Completed</x:v>
      </x:c>
      <x:c r="V240" s="10" t="n">
        <x:v>30</x:v>
      </x:c>
      <x:c r="W240" s="10" t="str">
        <x:f>XLOOKUP(F240,'产品维表'!$A$2:$A$5,'产品维表'!$D$2:$D$5,"未映射")</x:f>
        <x:v>L</x:v>
      </x:c>
      <x:c r="X240" s="10" t="str">
        <x:f>XLOOKUP(F240,'产品维表'!$A$2:$A$5,'产品维表'!$B$2:$B$5,"未映射")</x:f>
        <x:v>L2</x:v>
      </x:c>
      <x:c r="Y240" s="10" t="str">
        <x:f>XLOOKUP(G240,'渠道维表'!$A$2:$A$4,'渠道维表'!$B$2:$B$4,"未映射")</x:f>
        <x:v>区域经销</x:v>
      </x:c>
      <x:c r="Z240" s="10" t="str">
        <x:f>XLOOKUP(H240,'区域维表'!$A$2:$A$5,'区域维表'!$B$2:$B$5,"未映射")</x:f>
        <x:v>华南</x:v>
      </x:c>
      <x:c r="AA240" s="10" t="n">
        <x:f>XLOOKUP(B240,'日期维表'!$A$2:$A$43,'日期维表'!$F$2:$F$43,0)</x:f>
        <x:v>13</x:v>
      </x:c>
    </x:row>
    <x:row r="241" ht="15" hidden="0" customHeight="1">
      <x:c r="A241" s="10" t="str">
        <x:v>SO00240</x:v>
      </x:c>
      <x:c r="B241" s="10" t="n">
        <x:v>202502</x:v>
      </x:c>
      <x:c r="C241" s="10" t="n">
        <x:v>45709</x:v>
      </x:c>
      <x:c r="D241" s="10" t="n">
        <x:v>45717</x:v>
      </x:c>
      <x:c r="E241" s="10" t="n">
        <x:v>45717</x:v>
      </x:c>
      <x:c r="F241" s="10" t="n">
        <x:v>101</x:v>
      </x:c>
      <x:c r="G241" s="10" t="n">
        <x:v>2</x:v>
      </x:c>
      <x:c r="H241" s="10" t="n">
        <x:v>3</x:v>
      </x:c>
      <x:c r="I241" s="10" t="n">
        <x:v>23</x:v>
      </x:c>
      <x:c r="J241" s="10" t="n">
        <x:v>23</x:v>
      </x:c>
      <x:c r="K241" s="64" t="n">
        <x:v>2702.35</x:v>
      </x:c>
      <x:c r="L241" s="64" t="n">
        <x:v>64076.29</x:v>
      </x:c>
      <x:c r="M241" s="64" t="n">
        <x:v>1922.29</x:v>
      </x:c>
      <x:c r="N241" s="64" t="n">
        <x:v>62154</x:v>
      </x:c>
      <x:c r="O241" s="64" t="n">
        <x:v>1824.09</x:v>
      </x:c>
      <x:c r="P241" s="64" t="n">
        <x:v>41954.06</x:v>
      </x:c>
      <x:c r="Q241" s="64" t="n">
        <x:v>20199.94</x:v>
      </x:c>
      <x:c r="R241" s="10" t="n">
        <x:v>8</x:v>
      </x:c>
      <x:c r="S241" s="10" t="n">
        <x:v>1</x:v>
      </x:c>
      <x:c r="T241" s="10" t="n">
        <x:v>1</x:v>
      </x:c>
      <x:c r="U241" s="10" t="str">
        <x:v>Completed</x:v>
      </x:c>
      <x:c r="V241" s="10" t="n">
        <x:v>15</x:v>
      </x:c>
      <x:c r="W241" s="10" t="str">
        <x:f>XLOOKUP(F241,'产品维表'!$A$2:$A$5,'产品维表'!$D$2:$D$5,"未映射")</x:f>
        <x:v>L</x:v>
      </x:c>
      <x:c r="X241" s="10" t="str">
        <x:f>XLOOKUP(F241,'产品维表'!$A$2:$A$5,'产品维表'!$B$2:$B$5,"未映射")</x:f>
        <x:v>L1</x:v>
      </x:c>
      <x:c r="Y241" s="10" t="str">
        <x:f>XLOOKUP(G241,'渠道维表'!$A$2:$A$4,'渠道维表'!$B$2:$B$4,"未映射")</x:f>
        <x:v>线下零售</x:v>
      </x:c>
      <x:c r="Z241" s="10" t="str">
        <x:f>XLOOKUP(H241,'区域维表'!$A$2:$A$5,'区域维表'!$B$2:$B$5,"未映射")</x:f>
        <x:v>华北</x:v>
      </x:c>
      <x:c r="AA241" s="10" t="n">
        <x:f>XLOOKUP(B241,'日期维表'!$A$2:$A$43,'日期维表'!$F$2:$F$43,0)</x:f>
        <x:v>13</x:v>
      </x:c>
    </x:row>
    <x:row r="242" ht="15" hidden="0" customHeight="1">
      <x:c r="A242" s="10" t="str">
        <x:v>SO00241</x:v>
      </x:c>
      <x:c r="B242" s="10" t="n">
        <x:v>202502</x:v>
      </x:c>
      <x:c r="C242" s="10" t="n">
        <x:v>45693</x:v>
      </x:c>
      <x:c r="D242" s="10" t="n">
        <x:v>45703</x:v>
      </x:c>
      <x:c r="E242" s="10" t="n">
        <x:v>45703</x:v>
      </x:c>
      <x:c r="F242" s="10" t="n">
        <x:v>101</x:v>
      </x:c>
      <x:c r="G242" s="10" t="n">
        <x:v>3</x:v>
      </x:c>
      <x:c r="H242" s="10" t="n">
        <x:v>1</x:v>
      </x:c>
      <x:c r="I242" s="10" t="n">
        <x:v>56</x:v>
      </x:c>
      <x:c r="J242" s="10" t="n">
        <x:v>56</x:v>
      </x:c>
      <x:c r="K242" s="64" t="n">
        <x:v>2788.66</x:v>
      </x:c>
      <x:c r="L242" s="64" t="n">
        <x:v>171609.89</x:v>
      </x:c>
      <x:c r="M242" s="64" t="n">
        <x:v>15444.89</x:v>
      </x:c>
      <x:c r="N242" s="64" t="n">
        <x:v>156165</x:v>
      </x:c>
      <x:c r="O242" s="64" t="n">
        <x:v>1853.86</x:v>
      </x:c>
      <x:c r="P242" s="64" t="n">
        <x:v>103816.09</x:v>
      </x:c>
      <x:c r="Q242" s="64" t="n">
        <x:v>52348.91</x:v>
      </x:c>
      <x:c r="R242" s="10" t="n">
        <x:v>10</x:v>
      </x:c>
      <x:c r="S242" s="10" t="n">
        <x:v>1</x:v>
      </x:c>
      <x:c r="T242" s="10" t="n">
        <x:v>1</x:v>
      </x:c>
      <x:c r="U242" s="10" t="str">
        <x:v>Completed</x:v>
      </x:c>
      <x:c r="V242" s="10" t="n">
        <x:v>30</x:v>
      </x:c>
      <x:c r="W242" s="10" t="str">
        <x:f>XLOOKUP(F242,'产品维表'!$A$2:$A$5,'产品维表'!$D$2:$D$5,"未映射")</x:f>
        <x:v>L</x:v>
      </x:c>
      <x:c r="X242" s="10" t="str">
        <x:f>XLOOKUP(F242,'产品维表'!$A$2:$A$5,'产品维表'!$B$2:$B$5,"未映射")</x:f>
        <x:v>L1</x:v>
      </x:c>
      <x:c r="Y242" s="10" t="str">
        <x:f>XLOOKUP(G242,'渠道维表'!$A$2:$A$4,'渠道维表'!$B$2:$B$4,"未映射")</x:f>
        <x:v>区域经销</x:v>
      </x:c>
      <x:c r="Z242" s="10" t="str">
        <x:f>XLOOKUP(H242,'区域维表'!$A$2:$A$5,'区域维表'!$B$2:$B$5,"未映射")</x:f>
        <x:v>华东</x:v>
      </x:c>
      <x:c r="AA242" s="10" t="n">
        <x:f>XLOOKUP(B242,'日期维表'!$A$2:$A$43,'日期维表'!$F$2:$F$43,0)</x:f>
        <x:v>13</x:v>
      </x:c>
    </x:row>
    <x:row r="243" ht="15" hidden="0" customHeight="1">
      <x:c r="A243" s="10" t="str">
        <x:v>SO00242</x:v>
      </x:c>
      <x:c r="B243" s="10" t="n">
        <x:v>202502</x:v>
      </x:c>
      <x:c r="C243" s="10" t="n">
        <x:v>45705</x:v>
      </x:c>
      <x:c r="D243" s="10" t="n">
        <x:v>45717</x:v>
      </x:c>
      <x:c r="E243" s="10" t="n">
        <x:v>45717</x:v>
      </x:c>
      <x:c r="F243" s="10" t="n">
        <x:v>101</x:v>
      </x:c>
      <x:c r="G243" s="10" t="n">
        <x:v>3</x:v>
      </x:c>
      <x:c r="H243" s="10" t="n">
        <x:v>2</x:v>
      </x:c>
      <x:c r="I243" s="10" t="n">
        <x:v>59</x:v>
      </x:c>
      <x:c r="J243" s="10" t="n">
        <x:v>59</x:v>
      </x:c>
      <x:c r="K243" s="64" t="n">
        <x:v>2825.68</x:v>
      </x:c>
      <x:c r="L243" s="64" t="n">
        <x:v>183203.3</x:v>
      </x:c>
      <x:c r="M243" s="64" t="n">
        <x:v>16488.3</x:v>
      </x:c>
      <x:c r="N243" s="64" t="n">
        <x:v>166715</x:v>
      </x:c>
      <x:c r="O243" s="64" t="n">
        <x:v>1852.49</x:v>
      </x:c>
      <x:c r="P243" s="64" t="n">
        <x:v>109297.03</x:v>
      </x:c>
      <x:c r="Q243" s="64" t="n">
        <x:v>57417.97</x:v>
      </x:c>
      <x:c r="R243" s="10" t="n">
        <x:v>12</x:v>
      </x:c>
      <x:c r="S243" s="10" t="n">
        <x:v>1</x:v>
      </x:c>
      <x:c r="T243" s="10" t="n">
        <x:v>1</x:v>
      </x:c>
      <x:c r="U243" s="10" t="str">
        <x:v>Completed</x:v>
      </x:c>
      <x:c r="V243" s="10" t="n">
        <x:v>30</x:v>
      </x:c>
      <x:c r="W243" s="10" t="str">
        <x:f>XLOOKUP(F243,'产品维表'!$A$2:$A$5,'产品维表'!$D$2:$D$5,"未映射")</x:f>
        <x:v>L</x:v>
      </x:c>
      <x:c r="X243" s="10" t="str">
        <x:f>XLOOKUP(F243,'产品维表'!$A$2:$A$5,'产品维表'!$B$2:$B$5,"未映射")</x:f>
        <x:v>L1</x:v>
      </x:c>
      <x:c r="Y243" s="10" t="str">
        <x:f>XLOOKUP(G243,'渠道维表'!$A$2:$A$4,'渠道维表'!$B$2:$B$4,"未映射")</x:f>
        <x:v>区域经销</x:v>
      </x:c>
      <x:c r="Z243" s="10" t="str">
        <x:f>XLOOKUP(H243,'区域维表'!$A$2:$A$5,'区域维表'!$B$2:$B$5,"未映射")</x:f>
        <x:v>华南</x:v>
      </x:c>
      <x:c r="AA243" s="10" t="n">
        <x:f>XLOOKUP(B243,'日期维表'!$A$2:$A$43,'日期维表'!$F$2:$F$43,0)</x:f>
        <x:v>13</x:v>
      </x:c>
    </x:row>
    <x:row r="244" ht="15" hidden="0" customHeight="1">
      <x:c r="A244" s="10" t="str">
        <x:v>SO00243</x:v>
      </x:c>
      <x:c r="B244" s="10" t="n">
        <x:v>202502</x:v>
      </x:c>
      <x:c r="C244" s="10" t="n">
        <x:v>45694</x:v>
      </x:c>
      <x:c r="D244" s="10" t="n">
        <x:v>45701</x:v>
      </x:c>
      <x:c r="E244" s="10" t="n">
        <x:v>45701</x:v>
      </x:c>
      <x:c r="F244" s="10" t="n">
        <x:v>102</x:v>
      </x:c>
      <x:c r="G244" s="10" t="n">
        <x:v>2</x:v>
      </x:c>
      <x:c r="H244" s="10" t="n">
        <x:v>3</x:v>
      </x:c>
      <x:c r="I244" s="10" t="n">
        <x:v>36</x:v>
      </x:c>
      <x:c r="J244" s="10" t="n">
        <x:v>36</x:v>
      </x:c>
      <x:c r="K244" s="64" t="n">
        <x:v>2700.33</x:v>
      </x:c>
      <x:c r="L244" s="64" t="n">
        <x:v>100218.56</x:v>
      </x:c>
      <x:c r="M244" s="64" t="n">
        <x:v>3006.56</x:v>
      </x:c>
      <x:c r="N244" s="64" t="n">
        <x:v>97212</x:v>
      </x:c>
      <x:c r="O244" s="64" t="n">
        <x:v>2218.49</x:v>
      </x:c>
      <x:c r="P244" s="64" t="n">
        <x:v>79865.49</x:v>
      </x:c>
      <x:c r="Q244" s="64" t="n">
        <x:v>17346.51</x:v>
      </x:c>
      <x:c r="R244" s="10" t="n">
        <x:v>7</x:v>
      </x:c>
      <x:c r="S244" s="10" t="n">
        <x:v>1</x:v>
      </x:c>
      <x:c r="T244" s="10" t="n">
        <x:v>1</x:v>
      </x:c>
      <x:c r="U244" s="10" t="str">
        <x:v>Completed</x:v>
      </x:c>
      <x:c r="V244" s="10" t="n">
        <x:v>15</x:v>
      </x:c>
      <x:c r="W244" s="10" t="str">
        <x:f>XLOOKUP(F244,'产品维表'!$A$2:$A$5,'产品维表'!$D$2:$D$5,"未映射")</x:f>
        <x:v>L</x:v>
      </x:c>
      <x:c r="X244" s="10" t="str">
        <x:f>XLOOKUP(F244,'产品维表'!$A$2:$A$5,'产品维表'!$B$2:$B$5,"未映射")</x:f>
        <x:v>L2</x:v>
      </x:c>
      <x:c r="Y244" s="10" t="str">
        <x:f>XLOOKUP(G244,'渠道维表'!$A$2:$A$4,'渠道维表'!$B$2:$B$4,"未映射")</x:f>
        <x:v>线下零售</x:v>
      </x:c>
      <x:c r="Z244" s="10" t="str">
        <x:f>XLOOKUP(H244,'区域维表'!$A$2:$A$5,'区域维表'!$B$2:$B$5,"未映射")</x:f>
        <x:v>华北</x:v>
      </x:c>
      <x:c r="AA244" s="10" t="n">
        <x:f>XLOOKUP(B244,'日期维表'!$A$2:$A$43,'日期维表'!$F$2:$F$43,0)</x:f>
        <x:v>13</x:v>
      </x:c>
    </x:row>
    <x:row r="245" ht="15" hidden="0" customHeight="1">
      <x:c r="A245" s="10" t="str">
        <x:v>SO00244</x:v>
      </x:c>
      <x:c r="B245" s="10" t="n">
        <x:v>202502</x:v>
      </x:c>
      <x:c r="C245" s="10" t="n">
        <x:v>45706</x:v>
      </x:c>
      <x:c r="D245" s="10" t="n">
        <x:v>45712</x:v>
      </x:c>
      <x:c r="E245" s="10" t="n">
        <x:v>45712</x:v>
      </x:c>
      <x:c r="F245" s="10" t="n">
        <x:v>101</x:v>
      </x:c>
      <x:c r="G245" s="10" t="n">
        <x:v>2</x:v>
      </x:c>
      <x:c r="H245" s="10" t="n">
        <x:v>3</x:v>
      </x:c>
      <x:c r="I245" s="10" t="n">
        <x:v>24</x:v>
      </x:c>
      <x:c r="J245" s="10" t="n">
        <x:v>24</x:v>
      </x:c>
      <x:c r="K245" s="64" t="n">
        <x:v>2842.83</x:v>
      </x:c>
      <x:c r="L245" s="64" t="n">
        <x:v>70338.14</x:v>
      </x:c>
      <x:c r="M245" s="64" t="n">
        <x:v>2110.14</x:v>
      </x:c>
      <x:c r="N245" s="64" t="n">
        <x:v>68228</x:v>
      </x:c>
      <x:c r="O245" s="64" t="n">
        <x:v>1863</x:v>
      </x:c>
      <x:c r="P245" s="64" t="n">
        <x:v>44711.97</x:v>
      </x:c>
      <x:c r="Q245" s="64" t="n">
        <x:v>23516.03</x:v>
      </x:c>
      <x:c r="R245" s="10" t="n">
        <x:v>6</x:v>
      </x:c>
      <x:c r="S245" s="10" t="n">
        <x:v>1</x:v>
      </x:c>
      <x:c r="T245" s="10" t="n">
        <x:v>1</x:v>
      </x:c>
      <x:c r="U245" s="10" t="str">
        <x:v>Completed</x:v>
      </x:c>
      <x:c r="V245" s="10" t="n">
        <x:v>15</x:v>
      </x:c>
      <x:c r="W245" s="10" t="str">
        <x:f>XLOOKUP(F245,'产品维表'!$A$2:$A$5,'产品维表'!$D$2:$D$5,"未映射")</x:f>
        <x:v>L</x:v>
      </x:c>
      <x:c r="X245" s="10" t="str">
        <x:f>XLOOKUP(F245,'产品维表'!$A$2:$A$5,'产品维表'!$B$2:$B$5,"未映射")</x:f>
        <x:v>L1</x:v>
      </x:c>
      <x:c r="Y245" s="10" t="str">
        <x:f>XLOOKUP(G245,'渠道维表'!$A$2:$A$4,'渠道维表'!$B$2:$B$4,"未映射")</x:f>
        <x:v>线下零售</x:v>
      </x:c>
      <x:c r="Z245" s="10" t="str">
        <x:f>XLOOKUP(H245,'区域维表'!$A$2:$A$5,'区域维表'!$B$2:$B$5,"未映射")</x:f>
        <x:v>华北</x:v>
      </x:c>
      <x:c r="AA245" s="10" t="n">
        <x:f>XLOOKUP(B245,'日期维表'!$A$2:$A$43,'日期维表'!$F$2:$F$43,0)</x:f>
        <x:v>13</x:v>
      </x:c>
    </x:row>
    <x:row r="246" ht="15" hidden="0" customHeight="1">
      <x:c r="A246" s="10" t="str">
        <x:v>SO00245</x:v>
      </x:c>
      <x:c r="B246" s="10" t="n">
        <x:v>202503</x:v>
      </x:c>
      <x:c r="C246" s="10" t="n">
        <x:v>45724</x:v>
      </x:c>
      <x:c r="D246" s="10" t="n">
        <x:v>45731</x:v>
      </x:c>
      <x:c r="E246" s="10" t="n">
        <x:v>45731</x:v>
      </x:c>
      <x:c r="F246" s="10" t="n">
        <x:v>102</x:v>
      </x:c>
      <x:c r="G246" s="10" t="n">
        <x:v>3</x:v>
      </x:c>
      <x:c r="H246" s="10" t="n">
        <x:v>1</x:v>
      </x:c>
      <x:c r="I246" s="10" t="n">
        <x:v>29</x:v>
      </x:c>
      <x:c r="J246" s="10" t="n">
        <x:v>29</x:v>
      </x:c>
      <x:c r="K246" s="64" t="n">
        <x:v>2927.17</x:v>
      </x:c>
      <x:c r="L246" s="64" t="n">
        <x:v>93283.52</x:v>
      </x:c>
      <x:c r="M246" s="64" t="n">
        <x:v>8395.52</x:v>
      </x:c>
      <x:c r="N246" s="64" t="n">
        <x:v>84888</x:v>
      </x:c>
      <x:c r="O246" s="64" t="n">
        <x:v>2223.4</x:v>
      </x:c>
      <x:c r="P246" s="64" t="n">
        <x:v>64478.54</x:v>
      </x:c>
      <x:c r="Q246" s="64" t="n">
        <x:v>20409.46</x:v>
      </x:c>
      <x:c r="R246" s="10" t="n">
        <x:v>7</x:v>
      </x:c>
      <x:c r="S246" s="10" t="n">
        <x:v>1</x:v>
      </x:c>
      <x:c r="T246" s="10" t="n">
        <x:v>1</x:v>
      </x:c>
      <x:c r="U246" s="10" t="str">
        <x:v>Completed</x:v>
      </x:c>
      <x:c r="V246" s="10" t="n">
        <x:v>30</x:v>
      </x:c>
      <x:c r="W246" s="10" t="str">
        <x:f>XLOOKUP(F246,'产品维表'!$A$2:$A$5,'产品维表'!$D$2:$D$5,"未映射")</x:f>
        <x:v>L</x:v>
      </x:c>
      <x:c r="X246" s="10" t="str">
        <x:f>XLOOKUP(F246,'产品维表'!$A$2:$A$5,'产品维表'!$B$2:$B$5,"未映射")</x:f>
        <x:v>L2</x:v>
      </x:c>
      <x:c r="Y246" s="10" t="str">
        <x:f>XLOOKUP(G246,'渠道维表'!$A$2:$A$4,'渠道维表'!$B$2:$B$4,"未映射")</x:f>
        <x:v>区域经销</x:v>
      </x:c>
      <x:c r="Z246" s="10" t="str">
        <x:f>XLOOKUP(H246,'区域维表'!$A$2:$A$5,'区域维表'!$B$2:$B$5,"未映射")</x:f>
        <x:v>华东</x:v>
      </x:c>
      <x:c r="AA246" s="10" t="n">
        <x:f>XLOOKUP(B246,'日期维表'!$A$2:$A$43,'日期维表'!$F$2:$F$43,0)</x:f>
        <x:v>13</x:v>
      </x:c>
    </x:row>
    <x:row r="247" ht="15" hidden="0" customHeight="1">
      <x:c r="A247" s="10" t="str">
        <x:v>SO00246</x:v>
      </x:c>
      <x:c r="B247" s="10" t="n">
        <x:v>202503</x:v>
      </x:c>
      <x:c r="C247" s="10" t="n">
        <x:v>45726</x:v>
      </x:c>
      <x:c r="D247" s="10" t="n">
        <x:v>45734</x:v>
      </x:c>
      <x:c r="E247" s="10" t="n">
        <x:v>45734</x:v>
      </x:c>
      <x:c r="F247" s="10" t="n">
        <x:v>101</x:v>
      </x:c>
      <x:c r="G247" s="10" t="n">
        <x:v>3</x:v>
      </x:c>
      <x:c r="H247" s="10" t="n">
        <x:v>3</x:v>
      </x:c>
      <x:c r="I247" s="10" t="n">
        <x:v>48</x:v>
      </x:c>
      <x:c r="J247" s="10" t="n">
        <x:v>48</x:v>
      </x:c>
      <x:c r="K247" s="64" t="n">
        <x:v>2889.5</x:v>
      </x:c>
      <x:c r="L247" s="64" t="n">
        <x:v>152413.19</x:v>
      </x:c>
      <x:c r="M247" s="64" t="n">
        <x:v>13717.19</x:v>
      </x:c>
      <x:c r="N247" s="64" t="n">
        <x:v>138696</x:v>
      </x:c>
      <x:c r="O247" s="64" t="n">
        <x:v>1828.75</x:v>
      </x:c>
      <x:c r="P247" s="64" t="n">
        <x:v>87779.97</x:v>
      </x:c>
      <x:c r="Q247" s="64" t="n">
        <x:v>50916.03</x:v>
      </x:c>
      <x:c r="R247" s="10" t="n">
        <x:v>8</x:v>
      </x:c>
      <x:c r="S247" s="10" t="n">
        <x:v>1</x:v>
      </x:c>
      <x:c r="T247" s="10" t="n">
        <x:v>1</x:v>
      </x:c>
      <x:c r="U247" s="10" t="str">
        <x:v>Completed</x:v>
      </x:c>
      <x:c r="V247" s="10" t="n">
        <x:v>30</x:v>
      </x:c>
      <x:c r="W247" s="10" t="str">
        <x:f>XLOOKUP(F247,'产品维表'!$A$2:$A$5,'产品维表'!$D$2:$D$5,"未映射")</x:f>
        <x:v>L</x:v>
      </x:c>
      <x:c r="X247" s="10" t="str">
        <x:f>XLOOKUP(F247,'产品维表'!$A$2:$A$5,'产品维表'!$B$2:$B$5,"未映射")</x:f>
        <x:v>L1</x:v>
      </x:c>
      <x:c r="Y247" s="10" t="str">
        <x:f>XLOOKUP(G247,'渠道维表'!$A$2:$A$4,'渠道维表'!$B$2:$B$4,"未映射")</x:f>
        <x:v>区域经销</x:v>
      </x:c>
      <x:c r="Z247" s="10" t="str">
        <x:f>XLOOKUP(H247,'区域维表'!$A$2:$A$5,'区域维表'!$B$2:$B$5,"未映射")</x:f>
        <x:v>华北</x:v>
      </x:c>
      <x:c r="AA247" s="10" t="n">
        <x:f>XLOOKUP(B247,'日期维表'!$A$2:$A$43,'日期维表'!$F$2:$F$43,0)</x:f>
        <x:v>13</x:v>
      </x:c>
    </x:row>
    <x:row r="248" ht="15" hidden="0" customHeight="1">
      <x:c r="A248" s="10" t="str">
        <x:v>SO00247</x:v>
      </x:c>
      <x:c r="B248" s="10" t="n">
        <x:v>202503</x:v>
      </x:c>
      <x:c r="C248" s="10" t="n">
        <x:v>45725</x:v>
      </x:c>
      <x:c r="D248" s="10" t="n">
        <x:v>45736</x:v>
      </x:c>
      <x:c r="E248" s="10" t="n">
        <x:v>45736</x:v>
      </x:c>
      <x:c r="F248" s="10" t="n">
        <x:v>102</x:v>
      </x:c>
      <x:c r="G248" s="10" t="n">
        <x:v>3</x:v>
      </x:c>
      <x:c r="H248" s="10" t="n">
        <x:v>2</x:v>
      </x:c>
      <x:c r="I248" s="10" t="n">
        <x:v>57</x:v>
      </x:c>
      <x:c r="J248" s="10" t="n">
        <x:v>57</x:v>
      </x:c>
      <x:c r="K248" s="64" t="n">
        <x:v>2692.49</x:v>
      </x:c>
      <x:c r="L248" s="64" t="n">
        <x:v>168650.55</x:v>
      </x:c>
      <x:c r="M248" s="64" t="n">
        <x:v>15178.55</x:v>
      </x:c>
      <x:c r="N248" s="64" t="n">
        <x:v>153472</x:v>
      </x:c>
      <x:c r="O248" s="64" t="n">
        <x:v>2279.66</x:v>
      </x:c>
      <x:c r="P248" s="64" t="n">
        <x:v>129940.54</x:v>
      </x:c>
      <x:c r="Q248" s="64" t="n">
        <x:v>23531.46</x:v>
      </x:c>
      <x:c r="R248" s="10" t="n">
        <x:v>11</x:v>
      </x:c>
      <x:c r="S248" s="10" t="n">
        <x:v>1</x:v>
      </x:c>
      <x:c r="T248" s="10" t="n">
        <x:v>1</x:v>
      </x:c>
      <x:c r="U248" s="10" t="str">
        <x:v>Completed</x:v>
      </x:c>
      <x:c r="V248" s="10" t="n">
        <x:v>30</x:v>
      </x:c>
      <x:c r="W248" s="10" t="str">
        <x:f>XLOOKUP(F248,'产品维表'!$A$2:$A$5,'产品维表'!$D$2:$D$5,"未映射")</x:f>
        <x:v>L</x:v>
      </x:c>
      <x:c r="X248" s="10" t="str">
        <x:f>XLOOKUP(F248,'产品维表'!$A$2:$A$5,'产品维表'!$B$2:$B$5,"未映射")</x:f>
        <x:v>L2</x:v>
      </x:c>
      <x:c r="Y248" s="10" t="str">
        <x:f>XLOOKUP(G248,'渠道维表'!$A$2:$A$4,'渠道维表'!$B$2:$B$4,"未映射")</x:f>
        <x:v>区域经销</x:v>
      </x:c>
      <x:c r="Z248" s="10" t="str">
        <x:f>XLOOKUP(H248,'区域维表'!$A$2:$A$5,'区域维表'!$B$2:$B$5,"未映射")</x:f>
        <x:v>华南</x:v>
      </x:c>
      <x:c r="AA248" s="10" t="n">
        <x:f>XLOOKUP(B248,'日期维表'!$A$2:$A$43,'日期维表'!$F$2:$F$43,0)</x:f>
        <x:v>13</x:v>
      </x:c>
    </x:row>
    <x:row r="249" ht="15" hidden="0" customHeight="1">
      <x:c r="A249" s="10" t="str">
        <x:v>SO00248</x:v>
      </x:c>
      <x:c r="B249" s="10" t="n">
        <x:v>202503</x:v>
      </x:c>
      <x:c r="C249" s="10" t="n">
        <x:v>45740</x:v>
      </x:c>
      <x:c r="D249" s="10" t="n">
        <x:v>45750</x:v>
      </x:c>
      <x:c r="E249" s="10" t="n">
        <x:v>45755</x:v>
      </x:c>
      <x:c r="F249" s="10" t="n">
        <x:v>102</x:v>
      </x:c>
      <x:c r="G249" s="10" t="n">
        <x:v>1</x:v>
      </x:c>
      <x:c r="H249" s="10" t="n">
        <x:v>1</x:v>
      </x:c>
      <x:c r="I249" s="10" t="n">
        <x:v>26</x:v>
      </x:c>
      <x:c r="J249" s="10" t="n">
        <x:v>26</x:v>
      </x:c>
      <x:c r="K249" s="64" t="n">
        <x:v>2907.04</x:v>
      </x:c>
      <x:c r="L249" s="64" t="n">
        <x:v>75583</x:v>
      </x:c>
      <x:c r="M249" s="64" t="n">
        <x:v>0</x:v>
      </x:c>
      <x:c r="N249" s="64" t="n">
        <x:v>75583</x:v>
      </x:c>
      <x:c r="O249" s="64" t="n">
        <x:v>2251.85</x:v>
      </x:c>
      <x:c r="P249" s="64" t="n">
        <x:v>58548.16</x:v>
      </x:c>
      <x:c r="Q249" s="64" t="n">
        <x:v>17034.84</x:v>
      </x:c>
      <x:c r="R249" s="10" t="n">
        <x:v>15</x:v>
      </x:c>
      <x:c r="S249" s="10" t="n">
        <x:v>0</x:v>
      </x:c>
      <x:c r="T249" s="10" t="n">
        <x:v>1</x:v>
      </x:c>
      <x:c r="U249" s="10" t="str">
        <x:v>Completed</x:v>
      </x:c>
      <x:c r="V249" s="10" t="n">
        <x:v>0</x:v>
      </x:c>
      <x:c r="W249" s="10" t="str">
        <x:f>XLOOKUP(F249,'产品维表'!$A$2:$A$5,'产品维表'!$D$2:$D$5,"未映射")</x:f>
        <x:v>L</x:v>
      </x:c>
      <x:c r="X249" s="10" t="str">
        <x:f>XLOOKUP(F249,'产品维表'!$A$2:$A$5,'产品维表'!$B$2:$B$5,"未映射")</x:f>
        <x:v>L2</x:v>
      </x:c>
      <x:c r="Y249" s="10" t="str">
        <x:f>XLOOKUP(G249,'渠道维表'!$A$2:$A$4,'渠道维表'!$B$2:$B$4,"未映射")</x:f>
        <x:v>线上直营</x:v>
      </x:c>
      <x:c r="Z249" s="10" t="str">
        <x:f>XLOOKUP(H249,'区域维表'!$A$2:$A$5,'区域维表'!$B$2:$B$5,"未映射")</x:f>
        <x:v>华东</x:v>
      </x:c>
      <x:c r="AA249" s="10" t="n">
        <x:f>XLOOKUP(B249,'日期维表'!$A$2:$A$43,'日期维表'!$F$2:$F$43,0)</x:f>
        <x:v>13</x:v>
      </x:c>
    </x:row>
    <x:row r="250" ht="15" hidden="0" customHeight="1">
      <x:c r="A250" s="10" t="str">
        <x:v>SO00249</x:v>
      </x:c>
      <x:c r="B250" s="10" t="n">
        <x:v>202503</x:v>
      </x:c>
      <x:c r="C250" s="10" t="n">
        <x:v>45727</x:v>
      </x:c>
      <x:c r="D250" s="10" t="n">
        <x:v>45738</x:v>
      </x:c>
      <x:c r="E250" s="10" t="n">
        <x:v>45738</x:v>
      </x:c>
      <x:c r="F250" s="10" t="n">
        <x:v>101</x:v>
      </x:c>
      <x:c r="G250" s="10" t="n">
        <x:v>2</x:v>
      </x:c>
      <x:c r="H250" s="10" t="n">
        <x:v>1</x:v>
      </x:c>
      <x:c r="I250" s="10" t="n">
        <x:v>52</x:v>
      </x:c>
      <x:c r="J250" s="10" t="n">
        <x:v>52</x:v>
      </x:c>
      <x:c r="K250" s="64" t="n">
        <x:v>2632.5</x:v>
      </x:c>
      <x:c r="L250" s="64" t="n">
        <x:v>141123.71</x:v>
      </x:c>
      <x:c r="M250" s="64" t="n">
        <x:v>4233.71</x:v>
      </x:c>
      <x:c r="N250" s="64" t="n">
        <x:v>136890</x:v>
      </x:c>
      <x:c r="O250" s="64" t="n">
        <x:v>1841.1</x:v>
      </x:c>
      <x:c r="P250" s="64" t="n">
        <x:v>95737.42</x:v>
      </x:c>
      <x:c r="Q250" s="64" t="n">
        <x:v>41152.58</x:v>
      </x:c>
      <x:c r="R250" s="10" t="n">
        <x:v>11</x:v>
      </x:c>
      <x:c r="S250" s="10" t="n">
        <x:v>1</x:v>
      </x:c>
      <x:c r="T250" s="10" t="n">
        <x:v>1</x:v>
      </x:c>
      <x:c r="U250" s="10" t="str">
        <x:v>Completed</x:v>
      </x:c>
      <x:c r="V250" s="10" t="n">
        <x:v>15</x:v>
      </x:c>
      <x:c r="W250" s="10" t="str">
        <x:f>XLOOKUP(F250,'产品维表'!$A$2:$A$5,'产品维表'!$D$2:$D$5,"未映射")</x:f>
        <x:v>L</x:v>
      </x:c>
      <x:c r="X250" s="10" t="str">
        <x:f>XLOOKUP(F250,'产品维表'!$A$2:$A$5,'产品维表'!$B$2:$B$5,"未映射")</x:f>
        <x:v>L1</x:v>
      </x:c>
      <x:c r="Y250" s="10" t="str">
        <x:f>XLOOKUP(G250,'渠道维表'!$A$2:$A$4,'渠道维表'!$B$2:$B$4,"未映射")</x:f>
        <x:v>线下零售</x:v>
      </x:c>
      <x:c r="Z250" s="10" t="str">
        <x:f>XLOOKUP(H250,'区域维表'!$A$2:$A$5,'区域维表'!$B$2:$B$5,"未映射")</x:f>
        <x:v>华东</x:v>
      </x:c>
      <x:c r="AA250" s="10" t="n">
        <x:f>XLOOKUP(B250,'日期维表'!$A$2:$A$43,'日期维表'!$F$2:$F$43,0)</x:f>
        <x:v>13</x:v>
      </x:c>
    </x:row>
    <x:row r="251" ht="15" hidden="0" customHeight="1">
      <x:c r="A251" s="10" t="str">
        <x:v>SO00250</x:v>
      </x:c>
      <x:c r="B251" s="10" t="n">
        <x:v>202503</x:v>
      </x:c>
      <x:c r="C251" s="10" t="n">
        <x:v>45721</x:v>
      </x:c>
      <x:c r="D251" s="10" t="n">
        <x:v>45727</x:v>
      </x:c>
      <x:c r="E251" s="10" t="n">
        <x:v>45727</x:v>
      </x:c>
      <x:c r="F251" s="10" t="n">
        <x:v>101</x:v>
      </x:c>
      <x:c r="G251" s="10" t="n">
        <x:v>3</x:v>
      </x:c>
      <x:c r="H251" s="10" t="n">
        <x:v>2</x:v>
      </x:c>
      <x:c r="I251" s="10" t="n">
        <x:v>58</x:v>
      </x:c>
      <x:c r="J251" s="10" t="n">
        <x:v>58</x:v>
      </x:c>
      <x:c r="K251" s="64" t="n">
        <x:v>2592.41</x:v>
      </x:c>
      <x:c r="L251" s="64" t="n">
        <x:v>165230.77</x:v>
      </x:c>
      <x:c r="M251" s="64" t="n">
        <x:v>14870.77</x:v>
      </x:c>
      <x:c r="N251" s="64" t="n">
        <x:v>150360</x:v>
      </x:c>
      <x:c r="O251" s="64" t="n">
        <x:v>1839.62</x:v>
      </x:c>
      <x:c r="P251" s="64" t="n">
        <x:v>106697.69</x:v>
      </x:c>
      <x:c r="Q251" s="64" t="n">
        <x:v>43662.31</x:v>
      </x:c>
      <x:c r="R251" s="10" t="n">
        <x:v>6</x:v>
      </x:c>
      <x:c r="S251" s="10" t="n">
        <x:v>1</x:v>
      </x:c>
      <x:c r="T251" s="10" t="n">
        <x:v>1</x:v>
      </x:c>
      <x:c r="U251" s="10" t="str">
        <x:v>Completed</x:v>
      </x:c>
      <x:c r="V251" s="10" t="n">
        <x:v>30</x:v>
      </x:c>
      <x:c r="W251" s="10" t="str">
        <x:f>XLOOKUP(F251,'产品维表'!$A$2:$A$5,'产品维表'!$D$2:$D$5,"未映射")</x:f>
        <x:v>L</x:v>
      </x:c>
      <x:c r="X251" s="10" t="str">
        <x:f>XLOOKUP(F251,'产品维表'!$A$2:$A$5,'产品维表'!$B$2:$B$5,"未映射")</x:f>
        <x:v>L1</x:v>
      </x:c>
      <x:c r="Y251" s="10" t="str">
        <x:f>XLOOKUP(G251,'渠道维表'!$A$2:$A$4,'渠道维表'!$B$2:$B$4,"未映射")</x:f>
        <x:v>区域经销</x:v>
      </x:c>
      <x:c r="Z251" s="10" t="str">
        <x:f>XLOOKUP(H251,'区域维表'!$A$2:$A$5,'区域维表'!$B$2:$B$5,"未映射")</x:f>
        <x:v>华南</x:v>
      </x:c>
      <x:c r="AA251" s="10" t="n">
        <x:f>XLOOKUP(B251,'日期维表'!$A$2:$A$43,'日期维表'!$F$2:$F$43,0)</x:f>
        <x:v>13</x:v>
      </x:c>
    </x:row>
    <x:row r="252" ht="15" hidden="0" customHeight="1">
      <x:c r="A252" s="10" t="str">
        <x:v>SO00251</x:v>
      </x:c>
      <x:c r="B252" s="10" t="n">
        <x:v>202503</x:v>
      </x:c>
      <x:c r="C252" s="10" t="n">
        <x:v>45734</x:v>
      </x:c>
      <x:c r="D252" s="10" t="n">
        <x:v>45746</x:v>
      </x:c>
      <x:c r="E252" s="10" t="n">
        <x:v>45746</x:v>
      </x:c>
      <x:c r="F252" s="10" t="n">
        <x:v>101</x:v>
      </x:c>
      <x:c r="G252" s="10" t="n">
        <x:v>1</x:v>
      </x:c>
      <x:c r="H252" s="10" t="n">
        <x:v>2</x:v>
      </x:c>
      <x:c r="I252" s="10" t="n">
        <x:v>47</x:v>
      </x:c>
      <x:c r="J252" s="10" t="n">
        <x:v>47</x:v>
      </x:c>
      <x:c r="K252" s="64" t="n">
        <x:v>2821.66</x:v>
      </x:c>
      <x:c r="L252" s="64" t="n">
        <x:v>132618</x:v>
      </x:c>
      <x:c r="M252" s="64" t="n">
        <x:v>0</x:v>
      </x:c>
      <x:c r="N252" s="64" t="n">
        <x:v>132618</x:v>
      </x:c>
      <x:c r="O252" s="64" t="n">
        <x:v>1816.17</x:v>
      </x:c>
      <x:c r="P252" s="64" t="n">
        <x:v>85359.84</x:v>
      </x:c>
      <x:c r="Q252" s="64" t="n">
        <x:v>47258.16</x:v>
      </x:c>
      <x:c r="R252" s="10" t="n">
        <x:v>12</x:v>
      </x:c>
      <x:c r="S252" s="10" t="n">
        <x:v>1</x:v>
      </x:c>
      <x:c r="T252" s="10" t="n">
        <x:v>1</x:v>
      </x:c>
      <x:c r="U252" s="10" t="str">
        <x:v>Completed</x:v>
      </x:c>
      <x:c r="V252" s="10" t="n">
        <x:v>0</x:v>
      </x:c>
      <x:c r="W252" s="10" t="str">
        <x:f>XLOOKUP(F252,'产品维表'!$A$2:$A$5,'产品维表'!$D$2:$D$5,"未映射")</x:f>
        <x:v>L</x:v>
      </x:c>
      <x:c r="X252" s="10" t="str">
        <x:f>XLOOKUP(F252,'产品维表'!$A$2:$A$5,'产品维表'!$B$2:$B$5,"未映射")</x:f>
        <x:v>L1</x:v>
      </x:c>
      <x:c r="Y252" s="10" t="str">
        <x:f>XLOOKUP(G252,'渠道维表'!$A$2:$A$4,'渠道维表'!$B$2:$B$4,"未映射")</x:f>
        <x:v>线上直营</x:v>
      </x:c>
      <x:c r="Z252" s="10" t="str">
        <x:f>XLOOKUP(H252,'区域维表'!$A$2:$A$5,'区域维表'!$B$2:$B$5,"未映射")</x:f>
        <x:v>华南</x:v>
      </x:c>
      <x:c r="AA252" s="10" t="n">
        <x:f>XLOOKUP(B252,'日期维表'!$A$2:$A$43,'日期维表'!$F$2:$F$43,0)</x:f>
        <x:v>13</x:v>
      </x:c>
    </x:row>
    <x:row r="253" ht="15" hidden="0" customHeight="1">
      <x:c r="A253" s="10" t="str">
        <x:v>SO00252</x:v>
      </x:c>
      <x:c r="B253" s="10" t="n">
        <x:v>202503</x:v>
      </x:c>
      <x:c r="C253" s="10" t="n">
        <x:v>45731</x:v>
      </x:c>
      <x:c r="D253" s="10" t="n">
        <x:v>45740</x:v>
      </x:c>
      <x:c r="E253" s="10" t="n">
        <x:v>45740</x:v>
      </x:c>
      <x:c r="F253" s="10" t="n">
        <x:v>102</x:v>
      </x:c>
      <x:c r="G253" s="10" t="n">
        <x:v>3</x:v>
      </x:c>
      <x:c r="H253" s="10" t="n">
        <x:v>1</x:v>
      </x:c>
      <x:c r="I253" s="10" t="n">
        <x:v>54</x:v>
      </x:c>
      <x:c r="J253" s="10" t="n">
        <x:v>54</x:v>
      </x:c>
      <x:c r="K253" s="64" t="n">
        <x:v>2562.43</x:v>
      </x:c>
      <x:c r="L253" s="64" t="n">
        <x:v>152056.04</x:v>
      </x:c>
      <x:c r="M253" s="64" t="n">
        <x:v>13685.04</x:v>
      </x:c>
      <x:c r="N253" s="64" t="n">
        <x:v>138371</x:v>
      </x:c>
      <x:c r="O253" s="64" t="n">
        <x:v>1884.93</x:v>
      </x:c>
      <x:c r="P253" s="64" t="n">
        <x:v>101786.47</x:v>
      </x:c>
      <x:c r="Q253" s="64" t="n">
        <x:v>36584.53</x:v>
      </x:c>
      <x:c r="R253" s="10" t="n">
        <x:v>9</x:v>
      </x:c>
      <x:c r="S253" s="10" t="n">
        <x:v>1</x:v>
      </x:c>
      <x:c r="T253" s="10" t="n">
        <x:v>1</x:v>
      </x:c>
      <x:c r="U253" s="10" t="str">
        <x:v>Completed</x:v>
      </x:c>
      <x:c r="V253" s="10" t="n">
        <x:v>30</x:v>
      </x:c>
      <x:c r="W253" s="10" t="str">
        <x:f>XLOOKUP(F253,'产品维表'!$A$2:$A$5,'产品维表'!$D$2:$D$5,"未映射")</x:f>
        <x:v>L</x:v>
      </x:c>
      <x:c r="X253" s="10" t="str">
        <x:f>XLOOKUP(F253,'产品维表'!$A$2:$A$5,'产品维表'!$B$2:$B$5,"未映射")</x:f>
        <x:v>L2</x:v>
      </x:c>
      <x:c r="Y253" s="10" t="str">
        <x:f>XLOOKUP(G253,'渠道维表'!$A$2:$A$4,'渠道维表'!$B$2:$B$4,"未映射")</x:f>
        <x:v>区域经销</x:v>
      </x:c>
      <x:c r="Z253" s="10" t="str">
        <x:f>XLOOKUP(H253,'区域维表'!$A$2:$A$5,'区域维表'!$B$2:$B$5,"未映射")</x:f>
        <x:v>华东</x:v>
      </x:c>
      <x:c r="AA253" s="10" t="n">
        <x:f>XLOOKUP(B253,'日期维表'!$A$2:$A$43,'日期维表'!$F$2:$F$43,0)</x:f>
        <x:v>13</x:v>
      </x:c>
    </x:row>
    <x:row r="254" ht="15" hidden="0" customHeight="1">
      <x:c r="A254" s="10" t="str">
        <x:v>SO00253</x:v>
      </x:c>
      <x:c r="B254" s="10" t="n">
        <x:v>202503</x:v>
      </x:c>
      <x:c r="C254" s="10" t="n">
        <x:v>45740</x:v>
      </x:c>
      <x:c r="D254" s="10" t="n">
        <x:v>45752</x:v>
      </x:c>
      <x:c r="E254" s="10" t="n">
        <x:v>45754</x:v>
      </x:c>
      <x:c r="F254" s="10" t="n">
        <x:v>102</x:v>
      </x:c>
      <x:c r="G254" s="10" t="n">
        <x:v>3</x:v>
      </x:c>
      <x:c r="H254" s="10" t="n">
        <x:v>4</x:v>
      </x:c>
      <x:c r="I254" s="10" t="n">
        <x:v>40</x:v>
      </x:c>
      <x:c r="J254" s="10" t="n">
        <x:v>40</x:v>
      </x:c>
      <x:c r="K254" s="64" t="n">
        <x:v>2802.15</x:v>
      </x:c>
      <x:c r="L254" s="64" t="n">
        <x:v>123171.43</x:v>
      </x:c>
      <x:c r="M254" s="64" t="n">
        <x:v>11085.43</x:v>
      </x:c>
      <x:c r="N254" s="64" t="n">
        <x:v>112086</x:v>
      </x:c>
      <x:c r="O254" s="64" t="n">
        <x:v>2241.6</x:v>
      </x:c>
      <x:c r="P254" s="64" t="n">
        <x:v>89664.06</x:v>
      </x:c>
      <x:c r="Q254" s="64" t="n">
        <x:v>22421.94</x:v>
      </x:c>
      <x:c r="R254" s="10" t="n">
        <x:v>14</x:v>
      </x:c>
      <x:c r="S254" s="10" t="n">
        <x:v>0</x:v>
      </x:c>
      <x:c r="T254" s="10" t="n">
        <x:v>1</x:v>
      </x:c>
      <x:c r="U254" s="10" t="str">
        <x:v>Completed</x:v>
      </x:c>
      <x:c r="V254" s="10" t="n">
        <x:v>30</x:v>
      </x:c>
      <x:c r="W254" s="10" t="str">
        <x:f>XLOOKUP(F254,'产品维表'!$A$2:$A$5,'产品维表'!$D$2:$D$5,"未映射")</x:f>
        <x:v>L</x:v>
      </x:c>
      <x:c r="X254" s="10" t="str">
        <x:f>XLOOKUP(F254,'产品维表'!$A$2:$A$5,'产品维表'!$B$2:$B$5,"未映射")</x:f>
        <x:v>L2</x:v>
      </x:c>
      <x:c r="Y254" s="10" t="str">
        <x:f>XLOOKUP(G254,'渠道维表'!$A$2:$A$4,'渠道维表'!$B$2:$B$4,"未映射")</x:f>
        <x:v>区域经销</x:v>
      </x:c>
      <x:c r="Z254" s="10" t="str">
        <x:f>XLOOKUP(H254,'区域维表'!$A$2:$A$5,'区域维表'!$B$2:$B$5,"未映射")</x:f>
        <x:v>中西部</x:v>
      </x:c>
      <x:c r="AA254" s="10" t="n">
        <x:f>XLOOKUP(B254,'日期维表'!$A$2:$A$43,'日期维表'!$F$2:$F$43,0)</x:f>
        <x:v>13</x:v>
      </x:c>
    </x:row>
    <x:row r="255" ht="15" hidden="0" customHeight="1">
      <x:c r="A255" s="10" t="str">
        <x:v>SO00254</x:v>
      </x:c>
      <x:c r="B255" s="10" t="n">
        <x:v>202503</x:v>
      </x:c>
      <x:c r="C255" s="10" t="n">
        <x:v>45739</x:v>
      </x:c>
      <x:c r="D255" s="10" t="n">
        <x:v>45749</x:v>
      </x:c>
      <x:c r="E255" s="10" t="n">
        <x:v>45749</x:v>
      </x:c>
      <x:c r="F255" s="10" t="n">
        <x:v>101</x:v>
      </x:c>
      <x:c r="G255" s="10" t="n">
        <x:v>2</x:v>
      </x:c>
      <x:c r="H255" s="10" t="n">
        <x:v>2</x:v>
      </x:c>
      <x:c r="I255" s="10" t="n">
        <x:v>57</x:v>
      </x:c>
      <x:c r="J255" s="10" t="n">
        <x:v>57</x:v>
      </x:c>
      <x:c r="K255" s="64" t="n">
        <x:v>2847.47</x:v>
      </x:c>
      <x:c r="L255" s="64" t="n">
        <x:v>167325.77</x:v>
      </x:c>
      <x:c r="M255" s="64" t="n">
        <x:v>5019.77</x:v>
      </x:c>
      <x:c r="N255" s="64" t="n">
        <x:v>162306</x:v>
      </x:c>
      <x:c r="O255" s="64" t="n">
        <x:v>1835.74</x:v>
      </x:c>
      <x:c r="P255" s="64" t="n">
        <x:v>104637.11</x:v>
      </x:c>
      <x:c r="Q255" s="64" t="n">
        <x:v>57668.89</x:v>
      </x:c>
      <x:c r="R255" s="10" t="n">
        <x:v>10</x:v>
      </x:c>
      <x:c r="S255" s="10" t="n">
        <x:v>1</x:v>
      </x:c>
      <x:c r="T255" s="10" t="n">
        <x:v>1</x:v>
      </x:c>
      <x:c r="U255" s="10" t="str">
        <x:v>Completed</x:v>
      </x:c>
      <x:c r="V255" s="10" t="n">
        <x:v>15</x:v>
      </x:c>
      <x:c r="W255" s="10" t="str">
        <x:f>XLOOKUP(F255,'产品维表'!$A$2:$A$5,'产品维表'!$D$2:$D$5,"未映射")</x:f>
        <x:v>L</x:v>
      </x:c>
      <x:c r="X255" s="10" t="str">
        <x:f>XLOOKUP(F255,'产品维表'!$A$2:$A$5,'产品维表'!$B$2:$B$5,"未映射")</x:f>
        <x:v>L1</x:v>
      </x:c>
      <x:c r="Y255" s="10" t="str">
        <x:f>XLOOKUP(G255,'渠道维表'!$A$2:$A$4,'渠道维表'!$B$2:$B$4,"未映射")</x:f>
        <x:v>线下零售</x:v>
      </x:c>
      <x:c r="Z255" s="10" t="str">
        <x:f>XLOOKUP(H255,'区域维表'!$A$2:$A$5,'区域维表'!$B$2:$B$5,"未映射")</x:f>
        <x:v>华南</x:v>
      </x:c>
      <x:c r="AA255" s="10" t="n">
        <x:f>XLOOKUP(B255,'日期维表'!$A$2:$A$43,'日期维表'!$F$2:$F$43,0)</x:f>
        <x:v>13</x:v>
      </x:c>
    </x:row>
    <x:row r="256" ht="15" hidden="0" customHeight="1">
      <x:c r="A256" s="10" t="str">
        <x:v>SO00255</x:v>
      </x:c>
      <x:c r="B256" s="10" t="n">
        <x:v>202503</x:v>
      </x:c>
      <x:c r="C256" s="10" t="n">
        <x:v>45732</x:v>
      </x:c>
      <x:c r="D256" s="10" t="n">
        <x:v>45738</x:v>
      </x:c>
      <x:c r="E256" s="10" t="n">
        <x:v>45738</x:v>
      </x:c>
      <x:c r="F256" s="10" t="n">
        <x:v>102</x:v>
      </x:c>
      <x:c r="G256" s="10" t="n">
        <x:v>3</x:v>
      </x:c>
      <x:c r="H256" s="10" t="n">
        <x:v>2</x:v>
      </x:c>
      <x:c r="I256" s="10" t="n">
        <x:v>42</x:v>
      </x:c>
      <x:c r="J256" s="10" t="n">
        <x:v>42</x:v>
      </x:c>
      <x:c r="K256" s="64" t="n">
        <x:v>2858.76</x:v>
      </x:c>
      <x:c r="L256" s="64" t="n">
        <x:v>131942.86</x:v>
      </x:c>
      <x:c r="M256" s="64" t="n">
        <x:v>11874.86</x:v>
      </x:c>
      <x:c r="N256" s="64" t="n">
        <x:v>120068</x:v>
      </x:c>
      <x:c r="O256" s="64" t="n">
        <x:v>2201.45</x:v>
      </x:c>
      <x:c r="P256" s="64" t="n">
        <x:v>92460.84</x:v>
      </x:c>
      <x:c r="Q256" s="64" t="n">
        <x:v>27607.16</x:v>
      </x:c>
      <x:c r="R256" s="10" t="n">
        <x:v>6</x:v>
      </x:c>
      <x:c r="S256" s="10" t="n">
        <x:v>1</x:v>
      </x:c>
      <x:c r="T256" s="10" t="n">
        <x:v>1</x:v>
      </x:c>
      <x:c r="U256" s="10" t="str">
        <x:v>Completed</x:v>
      </x:c>
      <x:c r="V256" s="10" t="n">
        <x:v>30</x:v>
      </x:c>
      <x:c r="W256" s="10" t="str">
        <x:f>XLOOKUP(F256,'产品维表'!$A$2:$A$5,'产品维表'!$D$2:$D$5,"未映射")</x:f>
        <x:v>L</x:v>
      </x:c>
      <x:c r="X256" s="10" t="str">
        <x:f>XLOOKUP(F256,'产品维表'!$A$2:$A$5,'产品维表'!$B$2:$B$5,"未映射")</x:f>
        <x:v>L2</x:v>
      </x:c>
      <x:c r="Y256" s="10" t="str">
        <x:f>XLOOKUP(G256,'渠道维表'!$A$2:$A$4,'渠道维表'!$B$2:$B$4,"未映射")</x:f>
        <x:v>区域经销</x:v>
      </x:c>
      <x:c r="Z256" s="10" t="str">
        <x:f>XLOOKUP(H256,'区域维表'!$A$2:$A$5,'区域维表'!$B$2:$B$5,"未映射")</x:f>
        <x:v>华南</x:v>
      </x:c>
      <x:c r="AA256" s="10" t="n">
        <x:f>XLOOKUP(B256,'日期维表'!$A$2:$A$43,'日期维表'!$F$2:$F$43,0)</x:f>
        <x:v>13</x:v>
      </x:c>
    </x:row>
    <x:row r="257" ht="15" hidden="0" customHeight="1">
      <x:c r="A257" s="10" t="str">
        <x:v>SO00256</x:v>
      </x:c>
      <x:c r="B257" s="10" t="n">
        <x:v>202503</x:v>
      </x:c>
      <x:c r="C257" s="10" t="n">
        <x:v>45738</x:v>
      </x:c>
      <x:c r="D257" s="10" t="n">
        <x:v>45748</x:v>
      </x:c>
      <x:c r="E257" s="10" t="n">
        <x:v>45748</x:v>
      </x:c>
      <x:c r="F257" s="10" t="n">
        <x:v>101</x:v>
      </x:c>
      <x:c r="G257" s="10" t="n">
        <x:v>1</x:v>
      </x:c>
      <x:c r="H257" s="10" t="n">
        <x:v>4</x:v>
      </x:c>
      <x:c r="I257" s="10" t="n">
        <x:v>39</x:v>
      </x:c>
      <x:c r="J257" s="10" t="n">
        <x:v>39</x:v>
      </x:c>
      <x:c r="K257" s="64" t="n">
        <x:v>2693.26</x:v>
      </x:c>
      <x:c r="L257" s="64" t="n">
        <x:v>105037</x:v>
      </x:c>
      <x:c r="M257" s="64" t="n">
        <x:v>0</x:v>
      </x:c>
      <x:c r="N257" s="64" t="n">
        <x:v>105037</x:v>
      </x:c>
      <x:c r="O257" s="64" t="n">
        <x:v>1852.14</x:v>
      </x:c>
      <x:c r="P257" s="64" t="n">
        <x:v>72233.56</x:v>
      </x:c>
      <x:c r="Q257" s="64" t="n">
        <x:v>32803.44</x:v>
      </x:c>
      <x:c r="R257" s="10" t="n">
        <x:v>10</x:v>
      </x:c>
      <x:c r="S257" s="10" t="n">
        <x:v>1</x:v>
      </x:c>
      <x:c r="T257" s="10" t="n">
        <x:v>1</x:v>
      </x:c>
      <x:c r="U257" s="10" t="str">
        <x:v>Completed</x:v>
      </x:c>
      <x:c r="V257" s="10" t="n">
        <x:v>0</x:v>
      </x:c>
      <x:c r="W257" s="10" t="str">
        <x:f>XLOOKUP(F257,'产品维表'!$A$2:$A$5,'产品维表'!$D$2:$D$5,"未映射")</x:f>
        <x:v>L</x:v>
      </x:c>
      <x:c r="X257" s="10" t="str">
        <x:f>XLOOKUP(F257,'产品维表'!$A$2:$A$5,'产品维表'!$B$2:$B$5,"未映射")</x:f>
        <x:v>L1</x:v>
      </x:c>
      <x:c r="Y257" s="10" t="str">
        <x:f>XLOOKUP(G257,'渠道维表'!$A$2:$A$4,'渠道维表'!$B$2:$B$4,"未映射")</x:f>
        <x:v>线上直营</x:v>
      </x:c>
      <x:c r="Z257" s="10" t="str">
        <x:f>XLOOKUP(H257,'区域维表'!$A$2:$A$5,'区域维表'!$B$2:$B$5,"未映射")</x:f>
        <x:v>中西部</x:v>
      </x:c>
      <x:c r="AA257" s="10" t="n">
        <x:f>XLOOKUP(B257,'日期维表'!$A$2:$A$43,'日期维表'!$F$2:$F$43,0)</x:f>
        <x:v>13</x:v>
      </x:c>
    </x:row>
    <x:row r="258" ht="15" hidden="0" customHeight="1">
      <x:c r="A258" s="10" t="str">
        <x:v>SO00257</x:v>
      </x:c>
      <x:c r="B258" s="10" t="n">
        <x:v>202503</x:v>
      </x:c>
      <x:c r="C258" s="10" t="n">
        <x:v>45733</x:v>
      </x:c>
      <x:c r="D258" s="10" t="n">
        <x:v>45741</x:v>
      </x:c>
      <x:c r="E258" s="10" t="n">
        <x:v>45741</x:v>
      </x:c>
      <x:c r="F258" s="10" t="n">
        <x:v>101</x:v>
      </x:c>
      <x:c r="G258" s="10" t="n">
        <x:v>1</x:v>
      </x:c>
      <x:c r="H258" s="10" t="n">
        <x:v>3</x:v>
      </x:c>
      <x:c r="I258" s="10" t="n">
        <x:v>46</x:v>
      </x:c>
      <x:c r="J258" s="10" t="n">
        <x:v>46</x:v>
      </x:c>
      <x:c r="K258" s="64" t="n">
        <x:v>2871.26</x:v>
      </x:c>
      <x:c r="L258" s="64" t="n">
        <x:v>132078</x:v>
      </x:c>
      <x:c r="M258" s="64" t="n">
        <x:v>0</x:v>
      </x:c>
      <x:c r="N258" s="64" t="n">
        <x:v>132078</x:v>
      </x:c>
      <x:c r="O258" s="64" t="n">
        <x:v>1827.61</x:v>
      </x:c>
      <x:c r="P258" s="64" t="n">
        <x:v>84070.1</x:v>
      </x:c>
      <x:c r="Q258" s="64" t="n">
        <x:v>48007.9</x:v>
      </x:c>
      <x:c r="R258" s="10" t="n">
        <x:v>8</x:v>
      </x:c>
      <x:c r="S258" s="10" t="n">
        <x:v>1</x:v>
      </x:c>
      <x:c r="T258" s="10" t="n">
        <x:v>1</x:v>
      </x:c>
      <x:c r="U258" s="10" t="str">
        <x:v>Completed</x:v>
      </x:c>
      <x:c r="V258" s="10" t="n">
        <x:v>0</x:v>
      </x:c>
      <x:c r="W258" s="10" t="str">
        <x:f>XLOOKUP(F258,'产品维表'!$A$2:$A$5,'产品维表'!$D$2:$D$5,"未映射")</x:f>
        <x:v>L</x:v>
      </x:c>
      <x:c r="X258" s="10" t="str">
        <x:f>XLOOKUP(F258,'产品维表'!$A$2:$A$5,'产品维表'!$B$2:$B$5,"未映射")</x:f>
        <x:v>L1</x:v>
      </x:c>
      <x:c r="Y258" s="10" t="str">
        <x:f>XLOOKUP(G258,'渠道维表'!$A$2:$A$4,'渠道维表'!$B$2:$B$4,"未映射")</x:f>
        <x:v>线上直营</x:v>
      </x:c>
      <x:c r="Z258" s="10" t="str">
        <x:f>XLOOKUP(H258,'区域维表'!$A$2:$A$5,'区域维表'!$B$2:$B$5,"未映射")</x:f>
        <x:v>华北</x:v>
      </x:c>
      <x:c r="AA258" s="10" t="n">
        <x:f>XLOOKUP(B258,'日期维表'!$A$2:$A$43,'日期维表'!$F$2:$F$43,0)</x:f>
        <x:v>13</x:v>
      </x:c>
    </x:row>
    <x:row r="259" ht="15" hidden="0" customHeight="1">
      <x:c r="A259" s="10" t="str">
        <x:v>SO00258</x:v>
      </x:c>
      <x:c r="B259" s="10" t="n">
        <x:v>202503</x:v>
      </x:c>
      <x:c r="C259" s="10" t="n">
        <x:v>45719</x:v>
      </x:c>
      <x:c r="D259" s="10" t="n">
        <x:v>45725</x:v>
      </x:c>
      <x:c r="E259" s="10" t="n">
        <x:v>45725</x:v>
      </x:c>
      <x:c r="F259" s="10" t="n">
        <x:v>102</x:v>
      </x:c>
      <x:c r="G259" s="10" t="n">
        <x:v>3</x:v>
      </x:c>
      <x:c r="H259" s="10" t="n">
        <x:v>1</x:v>
      </x:c>
      <x:c r="I259" s="10" t="n">
        <x:v>48</x:v>
      </x:c>
      <x:c r="J259" s="10" t="n">
        <x:v>48</x:v>
      </x:c>
      <x:c r="K259" s="64" t="n">
        <x:v>2575.02</x:v>
      </x:c>
      <x:c r="L259" s="64" t="n">
        <x:v>135825.27</x:v>
      </x:c>
      <x:c r="M259" s="64" t="n">
        <x:v>12224.27</x:v>
      </x:c>
      <x:c r="N259" s="64" t="n">
        <x:v>123601</x:v>
      </x:c>
      <x:c r="O259" s="64" t="n">
        <x:v>1747.16</x:v>
      </x:c>
      <x:c r="P259" s="64" t="n">
        <x:v>83863.54</x:v>
      </x:c>
      <x:c r="Q259" s="64" t="n">
        <x:v>39737.46</x:v>
      </x:c>
      <x:c r="R259" s="10" t="n">
        <x:v>6</x:v>
      </x:c>
      <x:c r="S259" s="10" t="n">
        <x:v>1</x:v>
      </x:c>
      <x:c r="T259" s="10" t="n">
        <x:v>1</x:v>
      </x:c>
      <x:c r="U259" s="10" t="str">
        <x:v>Completed</x:v>
      </x:c>
      <x:c r="V259" s="10" t="n">
        <x:v>30</x:v>
      </x:c>
      <x:c r="W259" s="10" t="str">
        <x:f>XLOOKUP(F259,'产品维表'!$A$2:$A$5,'产品维表'!$D$2:$D$5,"未映射")</x:f>
        <x:v>L</x:v>
      </x:c>
      <x:c r="X259" s="10" t="str">
        <x:f>XLOOKUP(F259,'产品维表'!$A$2:$A$5,'产品维表'!$B$2:$B$5,"未映射")</x:f>
        <x:v>L2</x:v>
      </x:c>
      <x:c r="Y259" s="10" t="str">
        <x:f>XLOOKUP(G259,'渠道维表'!$A$2:$A$4,'渠道维表'!$B$2:$B$4,"未映射")</x:f>
        <x:v>区域经销</x:v>
      </x:c>
      <x:c r="Z259" s="10" t="str">
        <x:f>XLOOKUP(H259,'区域维表'!$A$2:$A$5,'区域维表'!$B$2:$B$5,"未映射")</x:f>
        <x:v>华东</x:v>
      </x:c>
      <x:c r="AA259" s="10" t="n">
        <x:f>XLOOKUP(B259,'日期维表'!$A$2:$A$43,'日期维表'!$F$2:$F$43,0)</x:f>
        <x:v>13</x:v>
      </x:c>
    </x:row>
    <x:row r="260" ht="15" hidden="0" customHeight="1">
      <x:c r="A260" s="10" t="str">
        <x:v>SO00259</x:v>
      </x:c>
      <x:c r="B260" s="10" t="n">
        <x:v>202503</x:v>
      </x:c>
      <x:c r="C260" s="10" t="n">
        <x:v>45734</x:v>
      </x:c>
      <x:c r="D260" s="10" t="n">
        <x:v>45746</x:v>
      </x:c>
      <x:c r="E260" s="10" t="n">
        <x:v>45746</x:v>
      </x:c>
      <x:c r="F260" s="10" t="n">
        <x:v>101</x:v>
      </x:c>
      <x:c r="G260" s="10" t="n">
        <x:v>3</x:v>
      </x:c>
      <x:c r="H260" s="10" t="n">
        <x:v>1</x:v>
      </x:c>
      <x:c r="I260" s="10" t="n">
        <x:v>30</x:v>
      </x:c>
      <x:c r="J260" s="10" t="n">
        <x:v>30</x:v>
      </x:c>
      <x:c r="K260" s="64" t="n">
        <x:v>2836.77</x:v>
      </x:c>
      <x:c r="L260" s="64" t="n">
        <x:v>93519.78</x:v>
      </x:c>
      <x:c r="M260" s="64" t="n">
        <x:v>8416.78</x:v>
      </x:c>
      <x:c r="N260" s="64" t="n">
        <x:v>85103</x:v>
      </x:c>
      <x:c r="O260" s="64" t="n">
        <x:v>1812.36</x:v>
      </x:c>
      <x:c r="P260" s="64" t="n">
        <x:v>54370.88</x:v>
      </x:c>
      <x:c r="Q260" s="64" t="n">
        <x:v>30732.12</x:v>
      </x:c>
      <x:c r="R260" s="10" t="n">
        <x:v>12</x:v>
      </x:c>
      <x:c r="S260" s="10" t="n">
        <x:v>1</x:v>
      </x:c>
      <x:c r="T260" s="10" t="n">
        <x:v>1</x:v>
      </x:c>
      <x:c r="U260" s="10" t="str">
        <x:v>Completed</x:v>
      </x:c>
      <x:c r="V260" s="10" t="n">
        <x:v>30</x:v>
      </x:c>
      <x:c r="W260" s="10" t="str">
        <x:f>XLOOKUP(F260,'产品维表'!$A$2:$A$5,'产品维表'!$D$2:$D$5,"未映射")</x:f>
        <x:v>L</x:v>
      </x:c>
      <x:c r="X260" s="10" t="str">
        <x:f>XLOOKUP(F260,'产品维表'!$A$2:$A$5,'产品维表'!$B$2:$B$5,"未映射")</x:f>
        <x:v>L1</x:v>
      </x:c>
      <x:c r="Y260" s="10" t="str">
        <x:f>XLOOKUP(G260,'渠道维表'!$A$2:$A$4,'渠道维表'!$B$2:$B$4,"未映射")</x:f>
        <x:v>区域经销</x:v>
      </x:c>
      <x:c r="Z260" s="10" t="str">
        <x:f>XLOOKUP(H260,'区域维表'!$A$2:$A$5,'区域维表'!$B$2:$B$5,"未映射")</x:f>
        <x:v>华东</x:v>
      </x:c>
      <x:c r="AA260" s="10" t="n">
        <x:f>XLOOKUP(B260,'日期维表'!$A$2:$A$43,'日期维表'!$F$2:$F$43,0)</x:f>
        <x:v>13</x:v>
      </x:c>
    </x:row>
    <x:row r="261" ht="15" hidden="0" customHeight="1">
      <x:c r="A261" s="10" t="str">
        <x:v>SO00260</x:v>
      </x:c>
      <x:c r="B261" s="10" t="n">
        <x:v>202503</x:v>
      </x:c>
      <x:c r="C261" s="10" t="n">
        <x:v>45740</x:v>
      </x:c>
      <x:c r="D261" s="10" t="n">
        <x:v>45746</x:v>
      </x:c>
      <x:c r="E261" s="10" t="n">
        <x:v>45746</x:v>
      </x:c>
      <x:c r="F261" s="10" t="n">
        <x:v>101</x:v>
      </x:c>
      <x:c r="G261" s="10" t="n">
        <x:v>2</x:v>
      </x:c>
      <x:c r="H261" s="10" t="n">
        <x:v>4</x:v>
      </x:c>
      <x:c r="I261" s="10" t="n">
        <x:v>36</x:v>
      </x:c>
      <x:c r="J261" s="10" t="n">
        <x:v>36</x:v>
      </x:c>
      <x:c r="K261" s="64" t="n">
        <x:v>2657.19</x:v>
      </x:c>
      <x:c r="L261" s="64" t="n">
        <x:v>98617.53</x:v>
      </x:c>
      <x:c r="M261" s="64" t="n">
        <x:v>2958.53</x:v>
      </x:c>
      <x:c r="N261" s="64" t="n">
        <x:v>95659</x:v>
      </x:c>
      <x:c r="O261" s="64" t="n">
        <x:v>1873.2</x:v>
      </x:c>
      <x:c r="P261" s="64" t="n">
        <x:v>67435.17</x:v>
      </x:c>
      <x:c r="Q261" s="64" t="n">
        <x:v>28223.83</x:v>
      </x:c>
      <x:c r="R261" s="10" t="n">
        <x:v>6</x:v>
      </x:c>
      <x:c r="S261" s="10" t="n">
        <x:v>1</x:v>
      </x:c>
      <x:c r="T261" s="10" t="n">
        <x:v>1</x:v>
      </x:c>
      <x:c r="U261" s="10" t="str">
        <x:v>Completed</x:v>
      </x:c>
      <x:c r="V261" s="10" t="n">
        <x:v>15</x:v>
      </x:c>
      <x:c r="W261" s="10" t="str">
        <x:f>XLOOKUP(F261,'产品维表'!$A$2:$A$5,'产品维表'!$D$2:$D$5,"未映射")</x:f>
        <x:v>L</x:v>
      </x:c>
      <x:c r="X261" s="10" t="str">
        <x:f>XLOOKUP(F261,'产品维表'!$A$2:$A$5,'产品维表'!$B$2:$B$5,"未映射")</x:f>
        <x:v>L1</x:v>
      </x:c>
      <x:c r="Y261" s="10" t="str">
        <x:f>XLOOKUP(G261,'渠道维表'!$A$2:$A$4,'渠道维表'!$B$2:$B$4,"未映射")</x:f>
        <x:v>线下零售</x:v>
      </x:c>
      <x:c r="Z261" s="10" t="str">
        <x:f>XLOOKUP(H261,'区域维表'!$A$2:$A$5,'区域维表'!$B$2:$B$5,"未映射")</x:f>
        <x:v>中西部</x:v>
      </x:c>
      <x:c r="AA261" s="10" t="n">
        <x:f>XLOOKUP(B261,'日期维表'!$A$2:$A$43,'日期维表'!$F$2:$F$43,0)</x:f>
        <x:v>13</x:v>
      </x:c>
    </x:row>
    <x:row r="262" ht="15" hidden="0" customHeight="1">
      <x:c r="A262" s="10" t="str">
        <x:v>SO00261</x:v>
      </x:c>
      <x:c r="B262" s="10" t="n">
        <x:v>202503</x:v>
      </x:c>
      <x:c r="C262" s="10" t="n">
        <x:v>45726</x:v>
      </x:c>
      <x:c r="D262" s="10" t="n">
        <x:v>45736</x:v>
      </x:c>
      <x:c r="E262" s="10" t="n">
        <x:v>45736</x:v>
      </x:c>
      <x:c r="F262" s="10" t="n">
        <x:v>101</x:v>
      </x:c>
      <x:c r="G262" s="10" t="n">
        <x:v>3</x:v>
      </x:c>
      <x:c r="H262" s="10" t="n">
        <x:v>3</x:v>
      </x:c>
      <x:c r="I262" s="10" t="n">
        <x:v>27</x:v>
      </x:c>
      <x:c r="J262" s="10" t="n">
        <x:v>27</x:v>
      </x:c>
      <x:c r="K262" s="64" t="n">
        <x:v>2775.19</x:v>
      </x:c>
      <x:c r="L262" s="64" t="n">
        <x:v>82340.66</x:v>
      </x:c>
      <x:c r="M262" s="64" t="n">
        <x:v>7410.66</x:v>
      </x:c>
      <x:c r="N262" s="64" t="n">
        <x:v>74930</x:v>
      </x:c>
      <x:c r="O262" s="64" t="n">
        <x:v>1852.4</x:v>
      </x:c>
      <x:c r="P262" s="64" t="n">
        <x:v>50014.8</x:v>
      </x:c>
      <x:c r="Q262" s="64" t="n">
        <x:v>24915.2</x:v>
      </x:c>
      <x:c r="R262" s="10" t="n">
        <x:v>10</x:v>
      </x:c>
      <x:c r="S262" s="10" t="n">
        <x:v>1</x:v>
      </x:c>
      <x:c r="T262" s="10" t="n">
        <x:v>1</x:v>
      </x:c>
      <x:c r="U262" s="10" t="str">
        <x:v>Completed</x:v>
      </x:c>
      <x:c r="V262" s="10" t="n">
        <x:v>30</x:v>
      </x:c>
      <x:c r="W262" s="10" t="str">
        <x:f>XLOOKUP(F262,'产品维表'!$A$2:$A$5,'产品维表'!$D$2:$D$5,"未映射")</x:f>
        <x:v>L</x:v>
      </x:c>
      <x:c r="X262" s="10" t="str">
        <x:f>XLOOKUP(F262,'产品维表'!$A$2:$A$5,'产品维表'!$B$2:$B$5,"未映射")</x:f>
        <x:v>L1</x:v>
      </x:c>
      <x:c r="Y262" s="10" t="str">
        <x:f>XLOOKUP(G262,'渠道维表'!$A$2:$A$4,'渠道维表'!$B$2:$B$4,"未映射")</x:f>
        <x:v>区域经销</x:v>
      </x:c>
      <x:c r="Z262" s="10" t="str">
        <x:f>XLOOKUP(H262,'区域维表'!$A$2:$A$5,'区域维表'!$B$2:$B$5,"未映射")</x:f>
        <x:v>华北</x:v>
      </x:c>
      <x:c r="AA262" s="10" t="n">
        <x:f>XLOOKUP(B262,'日期维表'!$A$2:$A$43,'日期维表'!$F$2:$F$43,0)</x:f>
        <x:v>13</x:v>
      </x:c>
    </x:row>
    <x:row r="263" ht="15" hidden="0" customHeight="1">
      <x:c r="A263" s="10" t="str">
        <x:v>SO00262</x:v>
      </x:c>
      <x:c r="B263" s="10" t="n">
        <x:v>202503</x:v>
      </x:c>
      <x:c r="C263" s="10" t="n">
        <x:v>45724</x:v>
      </x:c>
      <x:c r="D263" s="10" t="n">
        <x:v>45733</x:v>
      </x:c>
      <x:c r="E263" s="10" t="n">
        <x:v>45733</x:v>
      </x:c>
      <x:c r="F263" s="10" t="n">
        <x:v>101</x:v>
      </x:c>
      <x:c r="G263" s="10" t="n">
        <x:v>3</x:v>
      </x:c>
      <x:c r="H263" s="10" t="n">
        <x:v>3</x:v>
      </x:c>
      <x:c r="I263" s="10" t="n">
        <x:v>29</x:v>
      </x:c>
      <x:c r="J263" s="10" t="n">
        <x:v>29</x:v>
      </x:c>
      <x:c r="K263" s="64" t="n">
        <x:v>2910.14</x:v>
      </x:c>
      <x:c r="L263" s="64" t="n">
        <x:v>92740.66</x:v>
      </x:c>
      <x:c r="M263" s="64" t="n">
        <x:v>8346.66</x:v>
      </x:c>
      <x:c r="N263" s="64" t="n">
        <x:v>84394</x:v>
      </x:c>
      <x:c r="O263" s="64" t="n">
        <x:v>1847.52</x:v>
      </x:c>
      <x:c r="P263" s="64" t="n">
        <x:v>53577.94</x:v>
      </x:c>
      <x:c r="Q263" s="64" t="n">
        <x:v>30816.06</x:v>
      </x:c>
      <x:c r="R263" s="10" t="n">
        <x:v>9</x:v>
      </x:c>
      <x:c r="S263" s="10" t="n">
        <x:v>1</x:v>
      </x:c>
      <x:c r="T263" s="10" t="n">
        <x:v>1</x:v>
      </x:c>
      <x:c r="U263" s="10" t="str">
        <x:v>Completed</x:v>
      </x:c>
      <x:c r="V263" s="10" t="n">
        <x:v>30</x:v>
      </x:c>
      <x:c r="W263" s="10" t="str">
        <x:f>XLOOKUP(F263,'产品维表'!$A$2:$A$5,'产品维表'!$D$2:$D$5,"未映射")</x:f>
        <x:v>L</x:v>
      </x:c>
      <x:c r="X263" s="10" t="str">
        <x:f>XLOOKUP(F263,'产品维表'!$A$2:$A$5,'产品维表'!$B$2:$B$5,"未映射")</x:f>
        <x:v>L1</x:v>
      </x:c>
      <x:c r="Y263" s="10" t="str">
        <x:f>XLOOKUP(G263,'渠道维表'!$A$2:$A$4,'渠道维表'!$B$2:$B$4,"未映射")</x:f>
        <x:v>区域经销</x:v>
      </x:c>
      <x:c r="Z263" s="10" t="str">
        <x:f>XLOOKUP(H263,'区域维表'!$A$2:$A$5,'区域维表'!$B$2:$B$5,"未映射")</x:f>
        <x:v>华北</x:v>
      </x:c>
      <x:c r="AA263" s="10" t="n">
        <x:f>XLOOKUP(B263,'日期维表'!$A$2:$A$43,'日期维表'!$F$2:$F$43,0)</x:f>
        <x:v>13</x:v>
      </x:c>
    </x:row>
    <x:row r="264" ht="15" hidden="0" customHeight="1">
      <x:c r="A264" s="10" t="str">
        <x:v>SO00263</x:v>
      </x:c>
      <x:c r="B264" s="10" t="n">
        <x:v>202503</x:v>
      </x:c>
      <x:c r="C264" s="10" t="n">
        <x:v>45724</x:v>
      </x:c>
      <x:c r="D264" s="10" t="n">
        <x:v>45732</x:v>
      </x:c>
      <x:c r="E264" s="10" t="n">
        <x:v>45732</x:v>
      </x:c>
      <x:c r="F264" s="10" t="n">
        <x:v>102</x:v>
      </x:c>
      <x:c r="G264" s="10" t="n">
        <x:v>3</x:v>
      </x:c>
      <x:c r="H264" s="10" t="n">
        <x:v>2</x:v>
      </x:c>
      <x:c r="I264" s="10" t="n">
        <x:v>25</x:v>
      </x:c>
      <x:c r="J264" s="10" t="n">
        <x:v>25</x:v>
      </x:c>
      <x:c r="K264" s="64" t="n">
        <x:v>2691.48</x:v>
      </x:c>
      <x:c r="L264" s="64" t="n">
        <x:v>73941.76</x:v>
      </x:c>
      <x:c r="M264" s="64" t="n">
        <x:v>6654.76</x:v>
      </x:c>
      <x:c r="N264" s="64" t="n">
        <x:v>67287</x:v>
      </x:c>
      <x:c r="O264" s="64" t="n">
        <x:v>2265.53</x:v>
      </x:c>
      <x:c r="P264" s="64" t="n">
        <x:v>56638.32</x:v>
      </x:c>
      <x:c r="Q264" s="64" t="n">
        <x:v>10648.68</x:v>
      </x:c>
      <x:c r="R264" s="10" t="n">
        <x:v>8</x:v>
      </x:c>
      <x:c r="S264" s="10" t="n">
        <x:v>1</x:v>
      </x:c>
      <x:c r="T264" s="10" t="n">
        <x:v>1</x:v>
      </x:c>
      <x:c r="U264" s="10" t="str">
        <x:v>Completed</x:v>
      </x:c>
      <x:c r="V264" s="10" t="n">
        <x:v>30</x:v>
      </x:c>
      <x:c r="W264" s="10" t="str">
        <x:f>XLOOKUP(F264,'产品维表'!$A$2:$A$5,'产品维表'!$D$2:$D$5,"未映射")</x:f>
        <x:v>L</x:v>
      </x:c>
      <x:c r="X264" s="10" t="str">
        <x:f>XLOOKUP(F264,'产品维表'!$A$2:$A$5,'产品维表'!$B$2:$B$5,"未映射")</x:f>
        <x:v>L2</x:v>
      </x:c>
      <x:c r="Y264" s="10" t="str">
        <x:f>XLOOKUP(G264,'渠道维表'!$A$2:$A$4,'渠道维表'!$B$2:$B$4,"未映射")</x:f>
        <x:v>区域经销</x:v>
      </x:c>
      <x:c r="Z264" s="10" t="str">
        <x:f>XLOOKUP(H264,'区域维表'!$A$2:$A$5,'区域维表'!$B$2:$B$5,"未映射")</x:f>
        <x:v>华南</x:v>
      </x:c>
      <x:c r="AA264" s="10" t="n">
        <x:f>XLOOKUP(B264,'日期维表'!$A$2:$A$43,'日期维表'!$F$2:$F$43,0)</x:f>
        <x:v>13</x:v>
      </x:c>
    </x:row>
    <x:row r="265" ht="15" hidden="0" customHeight="1">
      <x:c r="A265" s="10" t="str">
        <x:v>SO00264</x:v>
      </x:c>
      <x:c r="B265" s="10" t="n">
        <x:v>202504</x:v>
      </x:c>
      <x:c r="C265" s="10" t="n">
        <x:v>45768</x:v>
      </x:c>
      <x:c r="D265" s="10" t="n">
        <x:v>45775</x:v>
      </x:c>
      <x:c r="E265" s="10" t="n">
        <x:v>45775</x:v>
      </x:c>
      <x:c r="F265" s="10" t="n">
        <x:v>101</x:v>
      </x:c>
      <x:c r="G265" s="10" t="n">
        <x:v>1</x:v>
      </x:c>
      <x:c r="H265" s="10" t="n">
        <x:v>1</x:v>
      </x:c>
      <x:c r="I265" s="10" t="n">
        <x:v>47</x:v>
      </x:c>
      <x:c r="J265" s="10" t="n">
        <x:v>47</x:v>
      </x:c>
      <x:c r="K265" s="64" t="n">
        <x:v>2750.79</x:v>
      </x:c>
      <x:c r="L265" s="64" t="n">
        <x:v>129287</x:v>
      </x:c>
      <x:c r="M265" s="64" t="n">
        <x:v>0</x:v>
      </x:c>
      <x:c r="N265" s="64" t="n">
        <x:v>129287</x:v>
      </x:c>
      <x:c r="O265" s="64" t="n">
        <x:v>1826.73</x:v>
      </x:c>
      <x:c r="P265" s="64" t="n">
        <x:v>85856.15</x:v>
      </x:c>
      <x:c r="Q265" s="64" t="n">
        <x:v>43430.85</x:v>
      </x:c>
      <x:c r="R265" s="10" t="n">
        <x:v>7</x:v>
      </x:c>
      <x:c r="S265" s="10" t="n">
        <x:v>1</x:v>
      </x:c>
      <x:c r="T265" s="10" t="n">
        <x:v>1</x:v>
      </x:c>
      <x:c r="U265" s="10" t="str">
        <x:v>Completed</x:v>
      </x:c>
      <x:c r="V265" s="10" t="n">
        <x:v>0</x:v>
      </x:c>
      <x:c r="W265" s="10" t="str">
        <x:f>XLOOKUP(F265,'产品维表'!$A$2:$A$5,'产品维表'!$D$2:$D$5,"未映射")</x:f>
        <x:v>L</x:v>
      </x:c>
      <x:c r="X265" s="10" t="str">
        <x:f>XLOOKUP(F265,'产品维表'!$A$2:$A$5,'产品维表'!$B$2:$B$5,"未映射")</x:f>
        <x:v>L1</x:v>
      </x:c>
      <x:c r="Y265" s="10" t="str">
        <x:f>XLOOKUP(G265,'渠道维表'!$A$2:$A$4,'渠道维表'!$B$2:$B$4,"未映射")</x:f>
        <x:v>线上直营</x:v>
      </x:c>
      <x:c r="Z265" s="10" t="str">
        <x:f>XLOOKUP(H265,'区域维表'!$A$2:$A$5,'区域维表'!$B$2:$B$5,"未映射")</x:f>
        <x:v>华东</x:v>
      </x:c>
      <x:c r="AA265" s="10" t="n">
        <x:f>XLOOKUP(B265,'日期维表'!$A$2:$A$43,'日期维表'!$F$2:$F$43,0)</x:f>
        <x:v>14</x:v>
      </x:c>
    </x:row>
    <x:row r="266" ht="15" hidden="0" customHeight="1">
      <x:c r="A266" s="10" t="str">
        <x:v>SO00265</x:v>
      </x:c>
      <x:c r="B266" s="10" t="n">
        <x:v>202504</x:v>
      </x:c>
      <x:c r="C266" s="10" t="n">
        <x:v>45759</x:v>
      </x:c>
      <x:c r="D266" s="10" t="n">
        <x:v>45769</x:v>
      </x:c>
      <x:c r="E266" s="10" t="n">
        <x:v>45769</x:v>
      </x:c>
      <x:c r="F266" s="10" t="n">
        <x:v>101</x:v>
      </x:c>
      <x:c r="G266" s="10" t="n">
        <x:v>1</x:v>
      </x:c>
      <x:c r="H266" s="10" t="n">
        <x:v>2</x:v>
      </x:c>
      <x:c r="I266" s="10" t="n">
        <x:v>29</x:v>
      </x:c>
      <x:c r="J266" s="10" t="n">
        <x:v>29</x:v>
      </x:c>
      <x:c r="K266" s="64" t="n">
        <x:v>2624.59</x:v>
      </x:c>
      <x:c r="L266" s="64" t="n">
        <x:v>76113</x:v>
      </x:c>
      <x:c r="M266" s="64" t="n">
        <x:v>0</x:v>
      </x:c>
      <x:c r="N266" s="64" t="n">
        <x:v>76113</x:v>
      </x:c>
      <x:c r="O266" s="64" t="n">
        <x:v>1805.63</x:v>
      </x:c>
      <x:c r="P266" s="64" t="n">
        <x:v>52363.26</x:v>
      </x:c>
      <x:c r="Q266" s="64" t="n">
        <x:v>23749.74</x:v>
      </x:c>
      <x:c r="R266" s="10" t="n">
        <x:v>10</x:v>
      </x:c>
      <x:c r="S266" s="10" t="n">
        <x:v>1</x:v>
      </x:c>
      <x:c r="T266" s="10" t="n">
        <x:v>1</x:v>
      </x:c>
      <x:c r="U266" s="10" t="str">
        <x:v>Completed</x:v>
      </x:c>
      <x:c r="V266" s="10" t="n">
        <x:v>0</x:v>
      </x:c>
      <x:c r="W266" s="10" t="str">
        <x:f>XLOOKUP(F266,'产品维表'!$A$2:$A$5,'产品维表'!$D$2:$D$5,"未映射")</x:f>
        <x:v>L</x:v>
      </x:c>
      <x:c r="X266" s="10" t="str">
        <x:f>XLOOKUP(F266,'产品维表'!$A$2:$A$5,'产品维表'!$B$2:$B$5,"未映射")</x:f>
        <x:v>L1</x:v>
      </x:c>
      <x:c r="Y266" s="10" t="str">
        <x:f>XLOOKUP(G266,'渠道维表'!$A$2:$A$4,'渠道维表'!$B$2:$B$4,"未映射")</x:f>
        <x:v>线上直营</x:v>
      </x:c>
      <x:c r="Z266" s="10" t="str">
        <x:f>XLOOKUP(H266,'区域维表'!$A$2:$A$5,'区域维表'!$B$2:$B$5,"未映射")</x:f>
        <x:v>华南</x:v>
      </x:c>
      <x:c r="AA266" s="10" t="n">
        <x:f>XLOOKUP(B266,'日期维表'!$A$2:$A$43,'日期维表'!$F$2:$F$43,0)</x:f>
        <x:v>14</x:v>
      </x:c>
    </x:row>
    <x:row r="267" ht="15" hidden="0" customHeight="1">
      <x:c r="A267" s="10" t="str">
        <x:v>SO00266</x:v>
      </x:c>
      <x:c r="B267" s="10" t="n">
        <x:v>202504</x:v>
      </x:c>
      <x:c r="C267" s="10" t="n">
        <x:v>45752</x:v>
      </x:c>
      <x:c r="D267" s="10" t="n">
        <x:v>45764</x:v>
      </x:c>
      <x:c r="E267" s="10" t="n">
        <x:v>45764</x:v>
      </x:c>
      <x:c r="F267" s="10" t="n">
        <x:v>102</x:v>
      </x:c>
      <x:c r="G267" s="10" t="n">
        <x:v>3</x:v>
      </x:c>
      <x:c r="H267" s="10" t="n">
        <x:v>3</x:v>
      </x:c>
      <x:c r="I267" s="10" t="n">
        <x:v>35</x:v>
      </x:c>
      <x:c r="J267" s="10" t="n">
        <x:v>35</x:v>
      </x:c>
      <x:c r="K267" s="64" t="n">
        <x:v>2711.69</x:v>
      </x:c>
      <x:c r="L267" s="64" t="n">
        <x:v>104295.6</x:v>
      </x:c>
      <x:c r="M267" s="64" t="n">
        <x:v>9386.6</x:v>
      </x:c>
      <x:c r="N267" s="64" t="n">
        <x:v>94909</x:v>
      </x:c>
      <x:c r="O267" s="64" t="n">
        <x:v>2248.84</x:v>
      </x:c>
      <x:c r="P267" s="64" t="n">
        <x:v>78709.44</x:v>
      </x:c>
      <x:c r="Q267" s="64" t="n">
        <x:v>16199.56</x:v>
      </x:c>
      <x:c r="R267" s="10" t="n">
        <x:v>12</x:v>
      </x:c>
      <x:c r="S267" s="10" t="n">
        <x:v>1</x:v>
      </x:c>
      <x:c r="T267" s="10" t="n">
        <x:v>1</x:v>
      </x:c>
      <x:c r="U267" s="10" t="str">
        <x:v>Completed</x:v>
      </x:c>
      <x:c r="V267" s="10" t="n">
        <x:v>30</x:v>
      </x:c>
      <x:c r="W267" s="10" t="str">
        <x:f>XLOOKUP(F267,'产品维表'!$A$2:$A$5,'产品维表'!$D$2:$D$5,"未映射")</x:f>
        <x:v>L</x:v>
      </x:c>
      <x:c r="X267" s="10" t="str">
        <x:f>XLOOKUP(F267,'产品维表'!$A$2:$A$5,'产品维表'!$B$2:$B$5,"未映射")</x:f>
        <x:v>L2</x:v>
      </x:c>
      <x:c r="Y267" s="10" t="str">
        <x:f>XLOOKUP(G267,'渠道维表'!$A$2:$A$4,'渠道维表'!$B$2:$B$4,"未映射")</x:f>
        <x:v>区域经销</x:v>
      </x:c>
      <x:c r="Z267" s="10" t="str">
        <x:f>XLOOKUP(H267,'区域维表'!$A$2:$A$5,'区域维表'!$B$2:$B$5,"未映射")</x:f>
        <x:v>华北</x:v>
      </x:c>
      <x:c r="AA267" s="10" t="n">
        <x:f>XLOOKUP(B267,'日期维表'!$A$2:$A$43,'日期维表'!$F$2:$F$43,0)</x:f>
        <x:v>14</x:v>
      </x:c>
    </x:row>
    <x:row r="268" ht="15" hidden="0" customHeight="1">
      <x:c r="A268" s="10" t="str">
        <x:v>SO00267</x:v>
      </x:c>
      <x:c r="B268" s="10" t="n">
        <x:v>202504</x:v>
      </x:c>
      <x:c r="C268" s="10" t="n">
        <x:v>45759</x:v>
      </x:c>
      <x:c r="D268" s="10" t="n">
        <x:v>45769</x:v>
      </x:c>
      <x:c r="E268" s="10" t="n">
        <x:v>45769</x:v>
      </x:c>
      <x:c r="F268" s="10" t="n">
        <x:v>101</x:v>
      </x:c>
      <x:c r="G268" s="10" t="n">
        <x:v>3</x:v>
      </x:c>
      <x:c r="H268" s="10" t="n">
        <x:v>2</x:v>
      </x:c>
      <x:c r="I268" s="10" t="n">
        <x:v>22</x:v>
      </x:c>
      <x:c r="J268" s="10" t="n">
        <x:v>22</x:v>
      </x:c>
      <x:c r="K268" s="64" t="n">
        <x:v>2596.23</x:v>
      </x:c>
      <x:c r="L268" s="64" t="n">
        <x:v>62765.93</x:v>
      </x:c>
      <x:c r="M268" s="64" t="n">
        <x:v>5648.93</x:v>
      </x:c>
      <x:c r="N268" s="64" t="n">
        <x:v>57117</x:v>
      </x:c>
      <x:c r="O268" s="64" t="n">
        <x:v>1818.78</x:v>
      </x:c>
      <x:c r="P268" s="64" t="n">
        <x:v>40013.15</x:v>
      </x:c>
      <x:c r="Q268" s="64" t="n">
        <x:v>17103.85</x:v>
      </x:c>
      <x:c r="R268" s="10" t="n">
        <x:v>10</x:v>
      </x:c>
      <x:c r="S268" s="10" t="n">
        <x:v>1</x:v>
      </x:c>
      <x:c r="T268" s="10" t="n">
        <x:v>1</x:v>
      </x:c>
      <x:c r="U268" s="10" t="str">
        <x:v>Completed</x:v>
      </x:c>
      <x:c r="V268" s="10" t="n">
        <x:v>30</x:v>
      </x:c>
      <x:c r="W268" s="10" t="str">
        <x:f>XLOOKUP(F268,'产品维表'!$A$2:$A$5,'产品维表'!$D$2:$D$5,"未映射")</x:f>
        <x:v>L</x:v>
      </x:c>
      <x:c r="X268" s="10" t="str">
        <x:f>XLOOKUP(F268,'产品维表'!$A$2:$A$5,'产品维表'!$B$2:$B$5,"未映射")</x:f>
        <x:v>L1</x:v>
      </x:c>
      <x:c r="Y268" s="10" t="str">
        <x:f>XLOOKUP(G268,'渠道维表'!$A$2:$A$4,'渠道维表'!$B$2:$B$4,"未映射")</x:f>
        <x:v>区域经销</x:v>
      </x:c>
      <x:c r="Z268" s="10" t="str">
        <x:f>XLOOKUP(H268,'区域维表'!$A$2:$A$5,'区域维表'!$B$2:$B$5,"未映射")</x:f>
        <x:v>华南</x:v>
      </x:c>
      <x:c r="AA268" s="10" t="n">
        <x:f>XLOOKUP(B268,'日期维表'!$A$2:$A$43,'日期维表'!$F$2:$F$43,0)</x:f>
        <x:v>14</x:v>
      </x:c>
    </x:row>
    <x:row r="269" ht="15" hidden="0" customHeight="1">
      <x:c r="A269" s="10" t="str">
        <x:v>SO00268</x:v>
      </x:c>
      <x:c r="B269" s="10" t="n">
        <x:v>202504</x:v>
      </x:c>
      <x:c r="C269" s="10" t="n">
        <x:v>45757</x:v>
      </x:c>
      <x:c r="D269" s="10" t="n">
        <x:v>45768</x:v>
      </x:c>
      <x:c r="E269" s="10" t="n">
        <x:v>45768</x:v>
      </x:c>
      <x:c r="F269" s="10" t="n">
        <x:v>101</x:v>
      </x:c>
      <x:c r="G269" s="10" t="n">
        <x:v>2</x:v>
      </x:c>
      <x:c r="H269" s="10" t="n">
        <x:v>2</x:v>
      </x:c>
      <x:c r="I269" s="10" t="n">
        <x:v>45</x:v>
      </x:c>
      <x:c r="J269" s="10" t="n">
        <x:v>45</x:v>
      </x:c>
      <x:c r="K269" s="64" t="n">
        <x:v>2940.13</x:v>
      </x:c>
      <x:c r="L269" s="64" t="n">
        <x:v>136397.94</x:v>
      </x:c>
      <x:c r="M269" s="64" t="n">
        <x:v>4091.94</x:v>
      </x:c>
      <x:c r="N269" s="64" t="n">
        <x:v>132306</x:v>
      </x:c>
      <x:c r="O269" s="64" t="n">
        <x:v>1820.28</x:v>
      </x:c>
      <x:c r="P269" s="64" t="n">
        <x:v>81912.38</x:v>
      </x:c>
      <x:c r="Q269" s="64" t="n">
        <x:v>50393.62</x:v>
      </x:c>
      <x:c r="R269" s="10" t="n">
        <x:v>11</x:v>
      </x:c>
      <x:c r="S269" s="10" t="n">
        <x:v>1</x:v>
      </x:c>
      <x:c r="T269" s="10" t="n">
        <x:v>1</x:v>
      </x:c>
      <x:c r="U269" s="10" t="str">
        <x:v>Completed</x:v>
      </x:c>
      <x:c r="V269" s="10" t="n">
        <x:v>15</x:v>
      </x:c>
      <x:c r="W269" s="10" t="str">
        <x:f>XLOOKUP(F269,'产品维表'!$A$2:$A$5,'产品维表'!$D$2:$D$5,"未映射")</x:f>
        <x:v>L</x:v>
      </x:c>
      <x:c r="X269" s="10" t="str">
        <x:f>XLOOKUP(F269,'产品维表'!$A$2:$A$5,'产品维表'!$B$2:$B$5,"未映射")</x:f>
        <x:v>L1</x:v>
      </x:c>
      <x:c r="Y269" s="10" t="str">
        <x:f>XLOOKUP(G269,'渠道维表'!$A$2:$A$4,'渠道维表'!$B$2:$B$4,"未映射")</x:f>
        <x:v>线下零售</x:v>
      </x:c>
      <x:c r="Z269" s="10" t="str">
        <x:f>XLOOKUP(H269,'区域维表'!$A$2:$A$5,'区域维表'!$B$2:$B$5,"未映射")</x:f>
        <x:v>华南</x:v>
      </x:c>
      <x:c r="AA269" s="10" t="n">
        <x:f>XLOOKUP(B269,'日期维表'!$A$2:$A$43,'日期维表'!$F$2:$F$43,0)</x:f>
        <x:v>14</x:v>
      </x:c>
    </x:row>
    <x:row r="270" ht="15" hidden="0" customHeight="1">
      <x:c r="A270" s="10" t="str">
        <x:v>SO00269</x:v>
      </x:c>
      <x:c r="B270" s="10" t="n">
        <x:v>202504</x:v>
      </x:c>
      <x:c r="C270" s="10" t="n">
        <x:v>45759</x:v>
      </x:c>
      <x:c r="D270" s="10" t="n">
        <x:v>45765</x:v>
      </x:c>
      <x:c r="E270" s="10" t="n">
        <x:v>45765</x:v>
      </x:c>
      <x:c r="F270" s="10" t="n">
        <x:v>102</x:v>
      </x:c>
      <x:c r="G270" s="10" t="n">
        <x:v>2</x:v>
      </x:c>
      <x:c r="H270" s="10" t="n">
        <x:v>3</x:v>
      </x:c>
      <x:c r="I270" s="10" t="n">
        <x:v>45</x:v>
      </x:c>
      <x:c r="J270" s="10" t="n">
        <x:v>45</x:v>
      </x:c>
      <x:c r="K270" s="64" t="n">
        <x:v>2808.96</x:v>
      </x:c>
      <x:c r="L270" s="64" t="n">
        <x:v>130312.37</x:v>
      </x:c>
      <x:c r="M270" s="64" t="n">
        <x:v>3909.37</x:v>
      </x:c>
      <x:c r="N270" s="64" t="n">
        <x:v>126403</x:v>
      </x:c>
      <x:c r="O270" s="64" t="n">
        <x:v>2246.93</x:v>
      </x:c>
      <x:c r="P270" s="64" t="n">
        <x:v>101111.63</x:v>
      </x:c>
      <x:c r="Q270" s="64" t="n">
        <x:v>25291.37</x:v>
      </x:c>
      <x:c r="R270" s="10" t="n">
        <x:v>6</x:v>
      </x:c>
      <x:c r="S270" s="10" t="n">
        <x:v>1</x:v>
      </x:c>
      <x:c r="T270" s="10" t="n">
        <x:v>1</x:v>
      </x:c>
      <x:c r="U270" s="10" t="str">
        <x:v>Completed</x:v>
      </x:c>
      <x:c r="V270" s="10" t="n">
        <x:v>15</x:v>
      </x:c>
      <x:c r="W270" s="10" t="str">
        <x:f>XLOOKUP(F270,'产品维表'!$A$2:$A$5,'产品维表'!$D$2:$D$5,"未映射")</x:f>
        <x:v>L</x:v>
      </x:c>
      <x:c r="X270" s="10" t="str">
        <x:f>XLOOKUP(F270,'产品维表'!$A$2:$A$5,'产品维表'!$B$2:$B$5,"未映射")</x:f>
        <x:v>L2</x:v>
      </x:c>
      <x:c r="Y270" s="10" t="str">
        <x:f>XLOOKUP(G270,'渠道维表'!$A$2:$A$4,'渠道维表'!$B$2:$B$4,"未映射")</x:f>
        <x:v>线下零售</x:v>
      </x:c>
      <x:c r="Z270" s="10" t="str">
        <x:f>XLOOKUP(H270,'区域维表'!$A$2:$A$5,'区域维表'!$B$2:$B$5,"未映射")</x:f>
        <x:v>华北</x:v>
      </x:c>
      <x:c r="AA270" s="10" t="n">
        <x:f>XLOOKUP(B270,'日期维表'!$A$2:$A$43,'日期维表'!$F$2:$F$43,0)</x:f>
        <x:v>14</x:v>
      </x:c>
    </x:row>
    <x:row r="271" ht="15" hidden="0" customHeight="1">
      <x:c r="A271" s="10" t="str">
        <x:v>SO00270</x:v>
      </x:c>
      <x:c r="B271" s="10" t="n">
        <x:v>202504</x:v>
      </x:c>
      <x:c r="C271" s="10" t="n">
        <x:v>45760</x:v>
      </x:c>
      <x:c r="D271" s="10" t="n">
        <x:v>45767</x:v>
      </x:c>
      <x:c r="E271" s="10" t="n">
        <x:v>45767</x:v>
      </x:c>
      <x:c r="F271" s="10" t="n">
        <x:v>101</x:v>
      </x:c>
      <x:c r="G271" s="10" t="n">
        <x:v>1</x:v>
      </x:c>
      <x:c r="H271" s="10" t="n">
        <x:v>1</x:v>
      </x:c>
      <x:c r="I271" s="10" t="n">
        <x:v>60</x:v>
      </x:c>
      <x:c r="J271" s="10" t="n">
        <x:v>60</x:v>
      </x:c>
      <x:c r="K271" s="64" t="n">
        <x:v>2840.52</x:v>
      </x:c>
      <x:c r="L271" s="64" t="n">
        <x:v>170431</x:v>
      </x:c>
      <x:c r="M271" s="64" t="n">
        <x:v>0</x:v>
      </x:c>
      <x:c r="N271" s="64" t="n">
        <x:v>170431</x:v>
      </x:c>
      <x:c r="O271" s="64" t="n">
        <x:v>1851.2</x:v>
      </x:c>
      <x:c r="P271" s="64" t="n">
        <x:v>111072.2</x:v>
      </x:c>
      <x:c r="Q271" s="64" t="n">
        <x:v>59358.8</x:v>
      </x:c>
      <x:c r="R271" s="10" t="n">
        <x:v>7</x:v>
      </x:c>
      <x:c r="S271" s="10" t="n">
        <x:v>1</x:v>
      </x:c>
      <x:c r="T271" s="10" t="n">
        <x:v>1</x:v>
      </x:c>
      <x:c r="U271" s="10" t="str">
        <x:v>Completed</x:v>
      </x:c>
      <x:c r="V271" s="10" t="n">
        <x:v>0</x:v>
      </x:c>
      <x:c r="W271" s="10" t="str">
        <x:f>XLOOKUP(F271,'产品维表'!$A$2:$A$5,'产品维表'!$D$2:$D$5,"未映射")</x:f>
        <x:v>L</x:v>
      </x:c>
      <x:c r="X271" s="10" t="str">
        <x:f>XLOOKUP(F271,'产品维表'!$A$2:$A$5,'产品维表'!$B$2:$B$5,"未映射")</x:f>
        <x:v>L1</x:v>
      </x:c>
      <x:c r="Y271" s="10" t="str">
        <x:f>XLOOKUP(G271,'渠道维表'!$A$2:$A$4,'渠道维表'!$B$2:$B$4,"未映射")</x:f>
        <x:v>线上直营</x:v>
      </x:c>
      <x:c r="Z271" s="10" t="str">
        <x:f>XLOOKUP(H271,'区域维表'!$A$2:$A$5,'区域维表'!$B$2:$B$5,"未映射")</x:f>
        <x:v>华东</x:v>
      </x:c>
      <x:c r="AA271" s="10" t="n">
        <x:f>XLOOKUP(B271,'日期维表'!$A$2:$A$43,'日期维表'!$F$2:$F$43,0)</x:f>
        <x:v>14</x:v>
      </x:c>
    </x:row>
    <x:row r="272" ht="15" hidden="0" customHeight="1">
      <x:c r="A272" s="10" t="str">
        <x:v>SO00271</x:v>
      </x:c>
      <x:c r="B272" s="10" t="n">
        <x:v>202504</x:v>
      </x:c>
      <x:c r="C272" s="10" t="n">
        <x:v>45770</x:v>
      </x:c>
      <x:c r="D272" s="10" t="n">
        <x:v>45780</x:v>
      </x:c>
      <x:c r="E272" s="10" t="n">
        <x:v>45784</x:v>
      </x:c>
      <x:c r="F272" s="10" t="n">
        <x:v>102</x:v>
      </x:c>
      <x:c r="G272" s="10" t="n">
        <x:v>2</x:v>
      </x:c>
      <x:c r="H272" s="10" t="n">
        <x:v>2</x:v>
      </x:c>
      <x:c r="I272" s="10" t="n">
        <x:v>34</x:v>
      </x:c>
      <x:c r="J272" s="10" t="n">
        <x:v>34</x:v>
      </x:c>
      <x:c r="K272" s="64" t="n">
        <x:v>2745.5</x:v>
      </x:c>
      <x:c r="L272" s="64" t="n">
        <x:v>96234.02</x:v>
      </x:c>
      <x:c r="M272" s="64" t="n">
        <x:v>2887.02</x:v>
      </x:c>
      <x:c r="N272" s="64" t="n">
        <x:v>93347</x:v>
      </x:c>
      <x:c r="O272" s="64" t="n">
        <x:v>2254.65</x:v>
      </x:c>
      <x:c r="P272" s="64" t="n">
        <x:v>76657.95</x:v>
      </x:c>
      <x:c r="Q272" s="64" t="n">
        <x:v>16689.05</x:v>
      </x:c>
      <x:c r="R272" s="10" t="n">
        <x:v>14</x:v>
      </x:c>
      <x:c r="S272" s="10" t="n">
        <x:v>0</x:v>
      </x:c>
      <x:c r="T272" s="10" t="n">
        <x:v>1</x:v>
      </x:c>
      <x:c r="U272" s="10" t="str">
        <x:v>Completed</x:v>
      </x:c>
      <x:c r="V272" s="10" t="n">
        <x:v>15</x:v>
      </x:c>
      <x:c r="W272" s="10" t="str">
        <x:f>XLOOKUP(F272,'产品维表'!$A$2:$A$5,'产品维表'!$D$2:$D$5,"未映射")</x:f>
        <x:v>L</x:v>
      </x:c>
      <x:c r="X272" s="10" t="str">
        <x:f>XLOOKUP(F272,'产品维表'!$A$2:$A$5,'产品维表'!$B$2:$B$5,"未映射")</x:f>
        <x:v>L2</x:v>
      </x:c>
      <x:c r="Y272" s="10" t="str">
        <x:f>XLOOKUP(G272,'渠道维表'!$A$2:$A$4,'渠道维表'!$B$2:$B$4,"未映射")</x:f>
        <x:v>线下零售</x:v>
      </x:c>
      <x:c r="Z272" s="10" t="str">
        <x:f>XLOOKUP(H272,'区域维表'!$A$2:$A$5,'区域维表'!$B$2:$B$5,"未映射")</x:f>
        <x:v>华南</x:v>
      </x:c>
      <x:c r="AA272" s="10" t="n">
        <x:f>XLOOKUP(B272,'日期维表'!$A$2:$A$43,'日期维表'!$F$2:$F$43,0)</x:f>
        <x:v>14</x:v>
      </x:c>
    </x:row>
    <x:row r="273" ht="15" hidden="0" customHeight="1">
      <x:c r="A273" s="10" t="str">
        <x:v>SO00272</x:v>
      </x:c>
      <x:c r="B273" s="10" t="n">
        <x:v>202504</x:v>
      </x:c>
      <x:c r="C273" s="10" t="n">
        <x:v>45757</x:v>
      </x:c>
      <x:c r="D273" s="10" t="n">
        <x:v>45764</x:v>
      </x:c>
      <x:c r="E273" s="10" t="n">
        <x:v>45764</x:v>
      </x:c>
      <x:c r="F273" s="10" t="n">
        <x:v>102</x:v>
      </x:c>
      <x:c r="G273" s="10" t="n">
        <x:v>3</x:v>
      </x:c>
      <x:c r="H273" s="10" t="n">
        <x:v>3</x:v>
      </x:c>
      <x:c r="I273" s="10" t="n">
        <x:v>58</x:v>
      </x:c>
      <x:c r="J273" s="10" t="n">
        <x:v>58</x:v>
      </x:c>
      <x:c r="K273" s="64" t="n">
        <x:v>2581.24</x:v>
      </x:c>
      <x:c r="L273" s="64" t="n">
        <x:v>164518.68</x:v>
      </x:c>
      <x:c r="M273" s="64" t="n">
        <x:v>14806.68</x:v>
      </x:c>
      <x:c r="N273" s="64" t="n">
        <x:v>149712</x:v>
      </x:c>
      <x:c r="O273" s="64" t="n">
        <x:v>2215.12</x:v>
      </x:c>
      <x:c r="P273" s="64" t="n">
        <x:v>128476.98</x:v>
      </x:c>
      <x:c r="Q273" s="64" t="n">
        <x:v>21235.02</x:v>
      </x:c>
      <x:c r="R273" s="10" t="n">
        <x:v>7</x:v>
      </x:c>
      <x:c r="S273" s="10" t="n">
        <x:v>1</x:v>
      </x:c>
      <x:c r="T273" s="10" t="n">
        <x:v>1</x:v>
      </x:c>
      <x:c r="U273" s="10" t="str">
        <x:v>Completed</x:v>
      </x:c>
      <x:c r="V273" s="10" t="n">
        <x:v>30</x:v>
      </x:c>
      <x:c r="W273" s="10" t="str">
        <x:f>XLOOKUP(F273,'产品维表'!$A$2:$A$5,'产品维表'!$D$2:$D$5,"未映射")</x:f>
        <x:v>L</x:v>
      </x:c>
      <x:c r="X273" s="10" t="str">
        <x:f>XLOOKUP(F273,'产品维表'!$A$2:$A$5,'产品维表'!$B$2:$B$5,"未映射")</x:f>
        <x:v>L2</x:v>
      </x:c>
      <x:c r="Y273" s="10" t="str">
        <x:f>XLOOKUP(G273,'渠道维表'!$A$2:$A$4,'渠道维表'!$B$2:$B$4,"未映射")</x:f>
        <x:v>区域经销</x:v>
      </x:c>
      <x:c r="Z273" s="10" t="str">
        <x:f>XLOOKUP(H273,'区域维表'!$A$2:$A$5,'区域维表'!$B$2:$B$5,"未映射")</x:f>
        <x:v>华北</x:v>
      </x:c>
      <x:c r="AA273" s="10" t="n">
        <x:f>XLOOKUP(B273,'日期维表'!$A$2:$A$43,'日期维表'!$F$2:$F$43,0)</x:f>
        <x:v>14</x:v>
      </x:c>
    </x:row>
    <x:row r="274" ht="15" hidden="0" customHeight="1">
      <x:c r="A274" s="10" t="str">
        <x:v>SO00273</x:v>
      </x:c>
      <x:c r="B274" s="10" t="n">
        <x:v>202504</x:v>
      </x:c>
      <x:c r="C274" s="10" t="n">
        <x:v>45750</x:v>
      </x:c>
      <x:c r="D274" s="10" t="n">
        <x:v>45756</x:v>
      </x:c>
      <x:c r="E274" s="10" t="n">
        <x:v>45756</x:v>
      </x:c>
      <x:c r="F274" s="10" t="n">
        <x:v>101</x:v>
      </x:c>
      <x:c r="G274" s="10" t="n">
        <x:v>3</x:v>
      </x:c>
      <x:c r="H274" s="10" t="n">
        <x:v>2</x:v>
      </x:c>
      <x:c r="I274" s="10" t="n">
        <x:v>62</x:v>
      </x:c>
      <x:c r="J274" s="10" t="n">
        <x:v>62</x:v>
      </x:c>
      <x:c r="K274" s="64" t="n">
        <x:v>2742.32</x:v>
      </x:c>
      <x:c r="L274" s="64" t="n">
        <x:v>186839.56</x:v>
      </x:c>
      <x:c r="M274" s="64" t="n">
        <x:v>16815.56</x:v>
      </x:c>
      <x:c r="N274" s="64" t="n">
        <x:v>170024</x:v>
      </x:c>
      <x:c r="O274" s="64" t="n">
        <x:v>1836.02</x:v>
      </x:c>
      <x:c r="P274" s="64" t="n">
        <x:v>113833.16</x:v>
      </x:c>
      <x:c r="Q274" s="64" t="n">
        <x:v>56190.84</x:v>
      </x:c>
      <x:c r="R274" s="10" t="n">
        <x:v>6</x:v>
      </x:c>
      <x:c r="S274" s="10" t="n">
        <x:v>1</x:v>
      </x:c>
      <x:c r="T274" s="10" t="n">
        <x:v>1</x:v>
      </x:c>
      <x:c r="U274" s="10" t="str">
        <x:v>Completed</x:v>
      </x:c>
      <x:c r="V274" s="10" t="n">
        <x:v>30</x:v>
      </x:c>
      <x:c r="W274" s="10" t="str">
        <x:f>XLOOKUP(F274,'产品维表'!$A$2:$A$5,'产品维表'!$D$2:$D$5,"未映射")</x:f>
        <x:v>L</x:v>
      </x:c>
      <x:c r="X274" s="10" t="str">
        <x:f>XLOOKUP(F274,'产品维表'!$A$2:$A$5,'产品维表'!$B$2:$B$5,"未映射")</x:f>
        <x:v>L1</x:v>
      </x:c>
      <x:c r="Y274" s="10" t="str">
        <x:f>XLOOKUP(G274,'渠道维表'!$A$2:$A$4,'渠道维表'!$B$2:$B$4,"未映射")</x:f>
        <x:v>区域经销</x:v>
      </x:c>
      <x:c r="Z274" s="10" t="str">
        <x:f>XLOOKUP(H274,'区域维表'!$A$2:$A$5,'区域维表'!$B$2:$B$5,"未映射")</x:f>
        <x:v>华南</x:v>
      </x:c>
      <x:c r="AA274" s="10" t="n">
        <x:f>XLOOKUP(B274,'日期维表'!$A$2:$A$43,'日期维表'!$F$2:$F$43,0)</x:f>
        <x:v>14</x:v>
      </x:c>
    </x:row>
    <x:row r="275" ht="15" hidden="0" customHeight="1">
      <x:c r="A275" s="10" t="str">
        <x:v>SO00274</x:v>
      </x:c>
      <x:c r="B275" s="10" t="n">
        <x:v>202504</x:v>
      </x:c>
      <x:c r="C275" s="10" t="n">
        <x:v>45769</x:v>
      </x:c>
      <x:c r="D275" s="10" t="n">
        <x:v>45777</x:v>
      </x:c>
      <x:c r="E275" s="10" t="n">
        <x:v>45777</x:v>
      </x:c>
      <x:c r="F275" s="10" t="n">
        <x:v>101</x:v>
      </x:c>
      <x:c r="G275" s="10" t="n">
        <x:v>1</x:v>
      </x:c>
      <x:c r="H275" s="10" t="n">
        <x:v>2</x:v>
      </x:c>
      <x:c r="I275" s="10" t="n">
        <x:v>38</x:v>
      </x:c>
      <x:c r="J275" s="10" t="n">
        <x:v>38</x:v>
      </x:c>
      <x:c r="K275" s="64" t="n">
        <x:v>2856.87</x:v>
      </x:c>
      <x:c r="L275" s="64" t="n">
        <x:v>108561</x:v>
      </x:c>
      <x:c r="M275" s="64" t="n">
        <x:v>0</x:v>
      </x:c>
      <x:c r="N275" s="64" t="n">
        <x:v>108561</x:v>
      </x:c>
      <x:c r="O275" s="64" t="n">
        <x:v>1794.02</x:v>
      </x:c>
      <x:c r="P275" s="64" t="n">
        <x:v>68172.73</x:v>
      </x:c>
      <x:c r="Q275" s="64" t="n">
        <x:v>40388.27</x:v>
      </x:c>
      <x:c r="R275" s="10" t="n">
        <x:v>8</x:v>
      </x:c>
      <x:c r="S275" s="10" t="n">
        <x:v>1</x:v>
      </x:c>
      <x:c r="T275" s="10" t="n">
        <x:v>1</x:v>
      </x:c>
      <x:c r="U275" s="10" t="str">
        <x:v>Completed</x:v>
      </x:c>
      <x:c r="V275" s="10" t="n">
        <x:v>0</x:v>
      </x:c>
      <x:c r="W275" s="10" t="str">
        <x:f>XLOOKUP(F275,'产品维表'!$A$2:$A$5,'产品维表'!$D$2:$D$5,"未映射")</x:f>
        <x:v>L</x:v>
      </x:c>
      <x:c r="X275" s="10" t="str">
        <x:f>XLOOKUP(F275,'产品维表'!$A$2:$A$5,'产品维表'!$B$2:$B$5,"未映射")</x:f>
        <x:v>L1</x:v>
      </x:c>
      <x:c r="Y275" s="10" t="str">
        <x:f>XLOOKUP(G275,'渠道维表'!$A$2:$A$4,'渠道维表'!$B$2:$B$4,"未映射")</x:f>
        <x:v>线上直营</x:v>
      </x:c>
      <x:c r="Z275" s="10" t="str">
        <x:f>XLOOKUP(H275,'区域维表'!$A$2:$A$5,'区域维表'!$B$2:$B$5,"未映射")</x:f>
        <x:v>华南</x:v>
      </x:c>
      <x:c r="AA275" s="10" t="n">
        <x:f>XLOOKUP(B275,'日期维表'!$A$2:$A$43,'日期维表'!$F$2:$F$43,0)</x:f>
        <x:v>14</x:v>
      </x:c>
    </x:row>
    <x:row r="276" ht="15" hidden="0" customHeight="1">
      <x:c r="A276" s="10" t="str">
        <x:v>SO00275</x:v>
      </x:c>
      <x:c r="B276" s="10" t="n">
        <x:v>202504</x:v>
      </x:c>
      <x:c r="C276" s="10" t="n">
        <x:v>45768</x:v>
      </x:c>
      <x:c r="D276" s="10" t="n">
        <x:v>45780</x:v>
      </x:c>
      <x:c r="E276" s="10" t="n">
        <x:v>45780</x:v>
      </x:c>
      <x:c r="F276" s="10" t="n">
        <x:v>101</x:v>
      </x:c>
      <x:c r="G276" s="10" t="n">
        <x:v>3</x:v>
      </x:c>
      <x:c r="H276" s="10" t="n">
        <x:v>2</x:v>
      </x:c>
      <x:c r="I276" s="10" t="n">
        <x:v>24</x:v>
      </x:c>
      <x:c r="J276" s="10" t="n">
        <x:v>24</x:v>
      </x:c>
      <x:c r="K276" s="64" t="n">
        <x:v>2778.29</x:v>
      </x:c>
      <x:c r="L276" s="64" t="n">
        <x:v>73273.63</x:v>
      </x:c>
      <x:c r="M276" s="64" t="n">
        <x:v>6594.63</x:v>
      </x:c>
      <x:c r="N276" s="64" t="n">
        <x:v>66679</x:v>
      </x:c>
      <x:c r="O276" s="64" t="n">
        <x:v>1798.25</x:v>
      </x:c>
      <x:c r="P276" s="64" t="n">
        <x:v>43157.9</x:v>
      </x:c>
      <x:c r="Q276" s="64" t="n">
        <x:v>23521.1</x:v>
      </x:c>
      <x:c r="R276" s="10" t="n">
        <x:v>12</x:v>
      </x:c>
      <x:c r="S276" s="10" t="n">
        <x:v>1</x:v>
      </x:c>
      <x:c r="T276" s="10" t="n">
        <x:v>1</x:v>
      </x:c>
      <x:c r="U276" s="10" t="str">
        <x:v>Completed</x:v>
      </x:c>
      <x:c r="V276" s="10" t="n">
        <x:v>30</x:v>
      </x:c>
      <x:c r="W276" s="10" t="str">
        <x:f>XLOOKUP(F276,'产品维表'!$A$2:$A$5,'产品维表'!$D$2:$D$5,"未映射")</x:f>
        <x:v>L</x:v>
      </x:c>
      <x:c r="X276" s="10" t="str">
        <x:f>XLOOKUP(F276,'产品维表'!$A$2:$A$5,'产品维表'!$B$2:$B$5,"未映射")</x:f>
        <x:v>L1</x:v>
      </x:c>
      <x:c r="Y276" s="10" t="str">
        <x:f>XLOOKUP(G276,'渠道维表'!$A$2:$A$4,'渠道维表'!$B$2:$B$4,"未映射")</x:f>
        <x:v>区域经销</x:v>
      </x:c>
      <x:c r="Z276" s="10" t="str">
        <x:f>XLOOKUP(H276,'区域维表'!$A$2:$A$5,'区域维表'!$B$2:$B$5,"未映射")</x:f>
        <x:v>华南</x:v>
      </x:c>
      <x:c r="AA276" s="10" t="n">
        <x:f>XLOOKUP(B276,'日期维表'!$A$2:$A$43,'日期维表'!$F$2:$F$43,0)</x:f>
        <x:v>14</x:v>
      </x:c>
    </x:row>
    <x:row r="277" ht="15" hidden="0" customHeight="1">
      <x:c r="A277" s="10" t="str">
        <x:v>SO00276</x:v>
      </x:c>
      <x:c r="B277" s="10" t="n">
        <x:v>202504</x:v>
      </x:c>
      <x:c r="C277" s="10" t="n">
        <x:v>45750</x:v>
      </x:c>
      <x:c r="D277" s="10" t="n">
        <x:v>45758</x:v>
      </x:c>
      <x:c r="E277" s="10" t="n">
        <x:v>45758</x:v>
      </x:c>
      <x:c r="F277" s="10" t="n">
        <x:v>101</x:v>
      </x:c>
      <x:c r="G277" s="10" t="n">
        <x:v>1</x:v>
      </x:c>
      <x:c r="H277" s="10" t="n">
        <x:v>2</x:v>
      </x:c>
      <x:c r="I277" s="10" t="n">
        <x:v>54</x:v>
      </x:c>
      <x:c r="J277" s="10" t="n">
        <x:v>54</x:v>
      </x:c>
      <x:c r="K277" s="64" t="n">
        <x:v>2632.54</x:v>
      </x:c>
      <x:c r="L277" s="64" t="n">
        <x:v>142157</x:v>
      </x:c>
      <x:c r="M277" s="64" t="n">
        <x:v>0</x:v>
      </x:c>
      <x:c r="N277" s="64" t="n">
        <x:v>142157</x:v>
      </x:c>
      <x:c r="O277" s="64" t="n">
        <x:v>1859.84</x:v>
      </x:c>
      <x:c r="P277" s="64" t="n">
        <x:v>100431.52</x:v>
      </x:c>
      <x:c r="Q277" s="64" t="n">
        <x:v>41725.48</x:v>
      </x:c>
      <x:c r="R277" s="10" t="n">
        <x:v>8</x:v>
      </x:c>
      <x:c r="S277" s="10" t="n">
        <x:v>1</x:v>
      </x:c>
      <x:c r="T277" s="10" t="n">
        <x:v>1</x:v>
      </x:c>
      <x:c r="U277" s="10" t="str">
        <x:v>Completed</x:v>
      </x:c>
      <x:c r="V277" s="10" t="n">
        <x:v>0</x:v>
      </x:c>
      <x:c r="W277" s="10" t="str">
        <x:f>XLOOKUP(F277,'产品维表'!$A$2:$A$5,'产品维表'!$D$2:$D$5,"未映射")</x:f>
        <x:v>L</x:v>
      </x:c>
      <x:c r="X277" s="10" t="str">
        <x:f>XLOOKUP(F277,'产品维表'!$A$2:$A$5,'产品维表'!$B$2:$B$5,"未映射")</x:f>
        <x:v>L1</x:v>
      </x:c>
      <x:c r="Y277" s="10" t="str">
        <x:f>XLOOKUP(G277,'渠道维表'!$A$2:$A$4,'渠道维表'!$B$2:$B$4,"未映射")</x:f>
        <x:v>线上直营</x:v>
      </x:c>
      <x:c r="Z277" s="10" t="str">
        <x:f>XLOOKUP(H277,'区域维表'!$A$2:$A$5,'区域维表'!$B$2:$B$5,"未映射")</x:f>
        <x:v>华南</x:v>
      </x:c>
      <x:c r="AA277" s="10" t="n">
        <x:f>XLOOKUP(B277,'日期维表'!$A$2:$A$43,'日期维表'!$F$2:$F$43,0)</x:f>
        <x:v>14</x:v>
      </x:c>
    </x:row>
    <x:row r="278" ht="15" hidden="0" customHeight="1">
      <x:c r="A278" s="10" t="str">
        <x:v>SO00277</x:v>
      </x:c>
      <x:c r="B278" s="10" t="n">
        <x:v>202504</x:v>
      </x:c>
      <x:c r="C278" s="10" t="n">
        <x:v>45753</x:v>
      </x:c>
      <x:c r="D278" s="10" t="n">
        <x:v>45765</x:v>
      </x:c>
      <x:c r="E278" s="10" t="n">
        <x:v>45765</x:v>
      </x:c>
      <x:c r="F278" s="10" t="n">
        <x:v>101</x:v>
      </x:c>
      <x:c r="G278" s="10" t="n">
        <x:v>2</x:v>
      </x:c>
      <x:c r="H278" s="10" t="n">
        <x:v>1</x:v>
      </x:c>
      <x:c r="I278" s="10" t="n">
        <x:v>38</x:v>
      </x:c>
      <x:c r="J278" s="10" t="n">
        <x:v>38</x:v>
      </x:c>
      <x:c r="K278" s="64" t="n">
        <x:v>2946.97</x:v>
      </x:c>
      <x:c r="L278" s="64" t="n">
        <x:v>115448.45</x:v>
      </x:c>
      <x:c r="M278" s="64" t="n">
        <x:v>3463.45</x:v>
      </x:c>
      <x:c r="N278" s="64" t="n">
        <x:v>111985</x:v>
      </x:c>
      <x:c r="O278" s="64" t="n">
        <x:v>1845.51</x:v>
      </x:c>
      <x:c r="P278" s="64" t="n">
        <x:v>70129.36</x:v>
      </x:c>
      <x:c r="Q278" s="64" t="n">
        <x:v>41855.64</x:v>
      </x:c>
      <x:c r="R278" s="10" t="n">
        <x:v>12</x:v>
      </x:c>
      <x:c r="S278" s="10" t="n">
        <x:v>1</x:v>
      </x:c>
      <x:c r="T278" s="10" t="n">
        <x:v>1</x:v>
      </x:c>
      <x:c r="U278" s="10" t="str">
        <x:v>Completed</x:v>
      </x:c>
      <x:c r="V278" s="10" t="n">
        <x:v>15</x:v>
      </x:c>
      <x:c r="W278" s="10" t="str">
        <x:f>XLOOKUP(F278,'产品维表'!$A$2:$A$5,'产品维表'!$D$2:$D$5,"未映射")</x:f>
        <x:v>L</x:v>
      </x:c>
      <x:c r="X278" s="10" t="str">
        <x:f>XLOOKUP(F278,'产品维表'!$A$2:$A$5,'产品维表'!$B$2:$B$5,"未映射")</x:f>
        <x:v>L1</x:v>
      </x:c>
      <x:c r="Y278" s="10" t="str">
        <x:f>XLOOKUP(G278,'渠道维表'!$A$2:$A$4,'渠道维表'!$B$2:$B$4,"未映射")</x:f>
        <x:v>线下零售</x:v>
      </x:c>
      <x:c r="Z278" s="10" t="str">
        <x:f>XLOOKUP(H278,'区域维表'!$A$2:$A$5,'区域维表'!$B$2:$B$5,"未映射")</x:f>
        <x:v>华东</x:v>
      </x:c>
      <x:c r="AA278" s="10" t="n">
        <x:f>XLOOKUP(B278,'日期维表'!$A$2:$A$43,'日期维表'!$F$2:$F$43,0)</x:f>
        <x:v>14</x:v>
      </x:c>
    </x:row>
    <x:row r="279" ht="15" hidden="0" customHeight="1">
      <x:c r="A279" s="10" t="str">
        <x:v>SO00278</x:v>
      </x:c>
      <x:c r="B279" s="10" t="n">
        <x:v>202504</x:v>
      </x:c>
      <x:c r="C279" s="10" t="n">
        <x:v>45763</x:v>
      </x:c>
      <x:c r="D279" s="10" t="n">
        <x:v>45770</x:v>
      </x:c>
      <x:c r="E279" s="10" t="n">
        <x:v>45770</x:v>
      </x:c>
      <x:c r="F279" s="10" t="n">
        <x:v>101</x:v>
      </x:c>
      <x:c r="G279" s="10" t="n">
        <x:v>1</x:v>
      </x:c>
      <x:c r="H279" s="10" t="n">
        <x:v>4</x:v>
      </x:c>
      <x:c r="I279" s="10" t="n">
        <x:v>26</x:v>
      </x:c>
      <x:c r="J279" s="10" t="n">
        <x:v>26</x:v>
      </x:c>
      <x:c r="K279" s="64" t="n">
        <x:v>2695.15</x:v>
      </x:c>
      <x:c r="L279" s="64" t="n">
        <x:v>70074</x:v>
      </x:c>
      <x:c r="M279" s="64" t="n">
        <x:v>0</x:v>
      </x:c>
      <x:c r="N279" s="64" t="n">
        <x:v>70074</x:v>
      </x:c>
      <x:c r="O279" s="64" t="n">
        <x:v>1864.47</x:v>
      </x:c>
      <x:c r="P279" s="64" t="n">
        <x:v>48476.33</x:v>
      </x:c>
      <x:c r="Q279" s="64" t="n">
        <x:v>21597.67</x:v>
      </x:c>
      <x:c r="R279" s="10" t="n">
        <x:v>7</x:v>
      </x:c>
      <x:c r="S279" s="10" t="n">
        <x:v>1</x:v>
      </x:c>
      <x:c r="T279" s="10" t="n">
        <x:v>1</x:v>
      </x:c>
      <x:c r="U279" s="10" t="str">
        <x:v>Completed</x:v>
      </x:c>
      <x:c r="V279" s="10" t="n">
        <x:v>0</x:v>
      </x:c>
      <x:c r="W279" s="10" t="str">
        <x:f>XLOOKUP(F279,'产品维表'!$A$2:$A$5,'产品维表'!$D$2:$D$5,"未映射")</x:f>
        <x:v>L</x:v>
      </x:c>
      <x:c r="X279" s="10" t="str">
        <x:f>XLOOKUP(F279,'产品维表'!$A$2:$A$5,'产品维表'!$B$2:$B$5,"未映射")</x:f>
        <x:v>L1</x:v>
      </x:c>
      <x:c r="Y279" s="10" t="str">
        <x:f>XLOOKUP(G279,'渠道维表'!$A$2:$A$4,'渠道维表'!$B$2:$B$4,"未映射")</x:f>
        <x:v>线上直营</x:v>
      </x:c>
      <x:c r="Z279" s="10" t="str">
        <x:f>XLOOKUP(H279,'区域维表'!$A$2:$A$5,'区域维表'!$B$2:$B$5,"未映射")</x:f>
        <x:v>中西部</x:v>
      </x:c>
      <x:c r="AA279" s="10" t="n">
        <x:f>XLOOKUP(B279,'日期维表'!$A$2:$A$43,'日期维表'!$F$2:$F$43,0)</x:f>
        <x:v>14</x:v>
      </x:c>
    </x:row>
    <x:row r="280" ht="15" hidden="0" customHeight="1">
      <x:c r="A280" s="10" t="str">
        <x:v>SO00279</x:v>
      </x:c>
      <x:c r="B280" s="10" t="n">
        <x:v>202504</x:v>
      </x:c>
      <x:c r="C280" s="10" t="n">
        <x:v>45769</x:v>
      </x:c>
      <x:c r="D280" s="10" t="n">
        <x:v>45780</x:v>
      </x:c>
      <x:c r="E280" s="10" t="n">
        <x:v>45780</x:v>
      </x:c>
      <x:c r="F280" s="10" t="n">
        <x:v>102</x:v>
      </x:c>
      <x:c r="G280" s="10" t="n">
        <x:v>3</x:v>
      </x:c>
      <x:c r="H280" s="10" t="n">
        <x:v>2</x:v>
      </x:c>
      <x:c r="I280" s="10" t="n">
        <x:v>23</x:v>
      </x:c>
      <x:c r="J280" s="10" t="n">
        <x:v>23</x:v>
      </x:c>
      <x:c r="K280" s="64" t="n">
        <x:v>2656.57</x:v>
      </x:c>
      <x:c r="L280" s="64" t="n">
        <x:v>67143.96</x:v>
      </x:c>
      <x:c r="M280" s="64" t="n">
        <x:v>6042.96</x:v>
      </x:c>
      <x:c r="N280" s="64" t="n">
        <x:v>61101</x:v>
      </x:c>
      <x:c r="O280" s="64" t="n">
        <x:v>2281.81</x:v>
      </x:c>
      <x:c r="P280" s="64" t="n">
        <x:v>52481.52</x:v>
      </x:c>
      <x:c r="Q280" s="64" t="n">
        <x:v>8619.48</x:v>
      </x:c>
      <x:c r="R280" s="10" t="n">
        <x:v>11</x:v>
      </x:c>
      <x:c r="S280" s="10" t="n">
        <x:v>1</x:v>
      </x:c>
      <x:c r="T280" s="10" t="n">
        <x:v>1</x:v>
      </x:c>
      <x:c r="U280" s="10" t="str">
        <x:v>Completed</x:v>
      </x:c>
      <x:c r="V280" s="10" t="n">
        <x:v>30</x:v>
      </x:c>
      <x:c r="W280" s="10" t="str">
        <x:f>XLOOKUP(F280,'产品维表'!$A$2:$A$5,'产品维表'!$D$2:$D$5,"未映射")</x:f>
        <x:v>L</x:v>
      </x:c>
      <x:c r="X280" s="10" t="str">
        <x:f>XLOOKUP(F280,'产品维表'!$A$2:$A$5,'产品维表'!$B$2:$B$5,"未映射")</x:f>
        <x:v>L2</x:v>
      </x:c>
      <x:c r="Y280" s="10" t="str">
        <x:f>XLOOKUP(G280,'渠道维表'!$A$2:$A$4,'渠道维表'!$B$2:$B$4,"未映射")</x:f>
        <x:v>区域经销</x:v>
      </x:c>
      <x:c r="Z280" s="10" t="str">
        <x:f>XLOOKUP(H280,'区域维表'!$A$2:$A$5,'区域维表'!$B$2:$B$5,"未映射")</x:f>
        <x:v>华南</x:v>
      </x:c>
      <x:c r="AA280" s="10" t="n">
        <x:f>XLOOKUP(B280,'日期维表'!$A$2:$A$43,'日期维表'!$F$2:$F$43,0)</x:f>
        <x:v>14</x:v>
      </x:c>
    </x:row>
    <x:row r="281" ht="15" hidden="0" customHeight="1">
      <x:c r="A281" s="10" t="str">
        <x:v>SO00280</x:v>
      </x:c>
      <x:c r="B281" s="10" t="n">
        <x:v>202504</x:v>
      </x:c>
      <x:c r="C281" s="10" t="n">
        <x:v>45765</x:v>
      </x:c>
      <x:c r="D281" s="10" t="n">
        <x:v>45776</x:v>
      </x:c>
      <x:c r="E281" s="10" t="n">
        <x:v>45776</x:v>
      </x:c>
      <x:c r="F281" s="10" t="n">
        <x:v>102</x:v>
      </x:c>
      <x:c r="G281" s="10" t="n">
        <x:v>1</x:v>
      </x:c>
      <x:c r="H281" s="10" t="n">
        <x:v>1</x:v>
      </x:c>
      <x:c r="I281" s="10" t="n">
        <x:v>52</x:v>
      </x:c>
      <x:c r="J281" s="10" t="n">
        <x:v>52</x:v>
      </x:c>
      <x:c r="K281" s="64" t="n">
        <x:v>2763.56</x:v>
      </x:c>
      <x:c r="L281" s="64" t="n">
        <x:v>143705</x:v>
      </x:c>
      <x:c r="M281" s="64" t="n">
        <x:v>0</x:v>
      </x:c>
      <x:c r="N281" s="64" t="n">
        <x:v>143705</x:v>
      </x:c>
      <x:c r="O281" s="64" t="n">
        <x:v>2217.77</x:v>
      </x:c>
      <x:c r="P281" s="64" t="n">
        <x:v>115324.17</x:v>
      </x:c>
      <x:c r="Q281" s="64" t="n">
        <x:v>28380.83</x:v>
      </x:c>
      <x:c r="R281" s="10" t="n">
        <x:v>11</x:v>
      </x:c>
      <x:c r="S281" s="10" t="n">
        <x:v>1</x:v>
      </x:c>
      <x:c r="T281" s="10" t="n">
        <x:v>1</x:v>
      </x:c>
      <x:c r="U281" s="10" t="str">
        <x:v>Completed</x:v>
      </x:c>
      <x:c r="V281" s="10" t="n">
        <x:v>0</x:v>
      </x:c>
      <x:c r="W281" s="10" t="str">
        <x:f>XLOOKUP(F281,'产品维表'!$A$2:$A$5,'产品维表'!$D$2:$D$5,"未映射")</x:f>
        <x:v>L</x:v>
      </x:c>
      <x:c r="X281" s="10" t="str">
        <x:f>XLOOKUP(F281,'产品维表'!$A$2:$A$5,'产品维表'!$B$2:$B$5,"未映射")</x:f>
        <x:v>L2</x:v>
      </x:c>
      <x:c r="Y281" s="10" t="str">
        <x:f>XLOOKUP(G281,'渠道维表'!$A$2:$A$4,'渠道维表'!$B$2:$B$4,"未映射")</x:f>
        <x:v>线上直营</x:v>
      </x:c>
      <x:c r="Z281" s="10" t="str">
        <x:f>XLOOKUP(H281,'区域维表'!$A$2:$A$5,'区域维表'!$B$2:$B$5,"未映射")</x:f>
        <x:v>华东</x:v>
      </x:c>
      <x:c r="AA281" s="10" t="n">
        <x:f>XLOOKUP(B281,'日期维表'!$A$2:$A$43,'日期维表'!$F$2:$F$43,0)</x:f>
        <x:v>14</x:v>
      </x:c>
    </x:row>
    <x:row r="282" ht="15" hidden="0" customHeight="1">
      <x:c r="A282" s="10" t="str">
        <x:v>SO00281</x:v>
      </x:c>
      <x:c r="B282" s="10" t="n">
        <x:v>202504</x:v>
      </x:c>
      <x:c r="C282" s="10" t="n">
        <x:v>45758</x:v>
      </x:c>
      <x:c r="D282" s="10" t="n">
        <x:v>45767</x:v>
      </x:c>
      <x:c r="E282" s="10" t="n">
        <x:v>45767</x:v>
      </x:c>
      <x:c r="F282" s="10" t="n">
        <x:v>102</x:v>
      </x:c>
      <x:c r="G282" s="10" t="n">
        <x:v>2</x:v>
      </x:c>
      <x:c r="H282" s="10" t="n">
        <x:v>1</x:v>
      </x:c>
      <x:c r="I282" s="10" t="n">
        <x:v>44</x:v>
      </x:c>
      <x:c r="J282" s="10" t="n">
        <x:v>44</x:v>
      </x:c>
      <x:c r="K282" s="64" t="n">
        <x:v>2715.48</x:v>
      </x:c>
      <x:c r="L282" s="64" t="n">
        <x:v>123176.29</x:v>
      </x:c>
      <x:c r="M282" s="64" t="n">
        <x:v>3695.29</x:v>
      </x:c>
      <x:c r="N282" s="64" t="n">
        <x:v>119481</x:v>
      </x:c>
      <x:c r="O282" s="64" t="n">
        <x:v>2263.18</x:v>
      </x:c>
      <x:c r="P282" s="64" t="n">
        <x:v>99579.97</x:v>
      </x:c>
      <x:c r="Q282" s="64" t="n">
        <x:v>19901.03</x:v>
      </x:c>
      <x:c r="R282" s="10" t="n">
        <x:v>9</x:v>
      </x:c>
      <x:c r="S282" s="10" t="n">
        <x:v>1</x:v>
      </x:c>
      <x:c r="T282" s="10" t="n">
        <x:v>1</x:v>
      </x:c>
      <x:c r="U282" s="10" t="str">
        <x:v>Completed</x:v>
      </x:c>
      <x:c r="V282" s="10" t="n">
        <x:v>15</x:v>
      </x:c>
      <x:c r="W282" s="10" t="str">
        <x:f>XLOOKUP(F282,'产品维表'!$A$2:$A$5,'产品维表'!$D$2:$D$5,"未映射")</x:f>
        <x:v>L</x:v>
      </x:c>
      <x:c r="X282" s="10" t="str">
        <x:f>XLOOKUP(F282,'产品维表'!$A$2:$A$5,'产品维表'!$B$2:$B$5,"未映射")</x:f>
        <x:v>L2</x:v>
      </x:c>
      <x:c r="Y282" s="10" t="str">
        <x:f>XLOOKUP(G282,'渠道维表'!$A$2:$A$4,'渠道维表'!$B$2:$B$4,"未映射")</x:f>
        <x:v>线下零售</x:v>
      </x:c>
      <x:c r="Z282" s="10" t="str">
        <x:f>XLOOKUP(H282,'区域维表'!$A$2:$A$5,'区域维表'!$B$2:$B$5,"未映射")</x:f>
        <x:v>华东</x:v>
      </x:c>
      <x:c r="AA282" s="10" t="n">
        <x:f>XLOOKUP(B282,'日期维表'!$A$2:$A$43,'日期维表'!$F$2:$F$43,0)</x:f>
        <x:v>14</x:v>
      </x:c>
    </x:row>
    <x:row r="283" ht="15" hidden="0" customHeight="1">
      <x:c r="A283" s="10" t="str">
        <x:v>SO00282</x:v>
      </x:c>
      <x:c r="B283" s="10" t="n">
        <x:v>202504</x:v>
      </x:c>
      <x:c r="C283" s="10" t="n">
        <x:v>45757</x:v>
      </x:c>
      <x:c r="D283" s="10" t="n">
        <x:v>45767</x:v>
      </x:c>
      <x:c r="E283" s="10" t="n">
        <x:v>45767</x:v>
      </x:c>
      <x:c r="F283" s="10" t="n">
        <x:v>101</x:v>
      </x:c>
      <x:c r="G283" s="10" t="n">
        <x:v>2</x:v>
      </x:c>
      <x:c r="H283" s="10" t="n">
        <x:v>3</x:v>
      </x:c>
      <x:c r="I283" s="10" t="n">
        <x:v>61</x:v>
      </x:c>
      <x:c r="J283" s="10" t="n">
        <x:v>61</x:v>
      </x:c>
      <x:c r="K283" s="64" t="n">
        <x:v>2708.38</x:v>
      </x:c>
      <x:c r="L283" s="64" t="n">
        <x:v>170320.62</x:v>
      </x:c>
      <x:c r="M283" s="64" t="n">
        <x:v>5109.62</x:v>
      </x:c>
      <x:c r="N283" s="64" t="n">
        <x:v>165211</x:v>
      </x:c>
      <x:c r="O283" s="64" t="n">
        <x:v>1867.14</x:v>
      </x:c>
      <x:c r="P283" s="64" t="n">
        <x:v>113895.63</x:v>
      </x:c>
      <x:c r="Q283" s="64" t="n">
        <x:v>51315.37</x:v>
      </x:c>
      <x:c r="R283" s="10" t="n">
        <x:v>10</x:v>
      </x:c>
      <x:c r="S283" s="10" t="n">
        <x:v>1</x:v>
      </x:c>
      <x:c r="T283" s="10" t="n">
        <x:v>1</x:v>
      </x:c>
      <x:c r="U283" s="10" t="str">
        <x:v>Completed</x:v>
      </x:c>
      <x:c r="V283" s="10" t="n">
        <x:v>15</x:v>
      </x:c>
      <x:c r="W283" s="10" t="str">
        <x:f>XLOOKUP(F283,'产品维表'!$A$2:$A$5,'产品维表'!$D$2:$D$5,"未映射")</x:f>
        <x:v>L</x:v>
      </x:c>
      <x:c r="X283" s="10" t="str">
        <x:f>XLOOKUP(F283,'产品维表'!$A$2:$A$5,'产品维表'!$B$2:$B$5,"未映射")</x:f>
        <x:v>L1</x:v>
      </x:c>
      <x:c r="Y283" s="10" t="str">
        <x:f>XLOOKUP(G283,'渠道维表'!$A$2:$A$4,'渠道维表'!$B$2:$B$4,"未映射")</x:f>
        <x:v>线下零售</x:v>
      </x:c>
      <x:c r="Z283" s="10" t="str">
        <x:f>XLOOKUP(H283,'区域维表'!$A$2:$A$5,'区域维表'!$B$2:$B$5,"未映射")</x:f>
        <x:v>华北</x:v>
      </x:c>
      <x:c r="AA283" s="10" t="n">
        <x:f>XLOOKUP(B283,'日期维表'!$A$2:$A$43,'日期维表'!$F$2:$F$43,0)</x:f>
        <x:v>14</x:v>
      </x:c>
    </x:row>
    <x:row r="284" ht="15" hidden="0" customHeight="1">
      <x:c r="A284" s="10" t="str">
        <x:v>SO00283</x:v>
      </x:c>
      <x:c r="B284" s="10" t="n">
        <x:v>202504</x:v>
      </x:c>
      <x:c r="C284" s="10" t="n">
        <x:v>45762</x:v>
      </x:c>
      <x:c r="D284" s="10" t="n">
        <x:v>45774</x:v>
      </x:c>
      <x:c r="E284" s="10" t="n">
        <x:v>45774</x:v>
      </x:c>
      <x:c r="F284" s="10" t="n">
        <x:v>101</x:v>
      </x:c>
      <x:c r="G284" s="10" t="n">
        <x:v>3</x:v>
      </x:c>
      <x:c r="H284" s="10" t="n">
        <x:v>3</x:v>
      </x:c>
      <x:c r="I284" s="10" t="n">
        <x:v>36</x:v>
      </x:c>
      <x:c r="J284" s="10" t="n">
        <x:v>36</x:v>
      </x:c>
      <x:c r="K284" s="64" t="n">
        <x:v>2738.36</x:v>
      </x:c>
      <x:c r="L284" s="64" t="n">
        <x:v>108330.77</x:v>
      </x:c>
      <x:c r="M284" s="64" t="n">
        <x:v>9749.77</x:v>
      </x:c>
      <x:c r="N284" s="64" t="n">
        <x:v>98581</x:v>
      </x:c>
      <x:c r="O284" s="64" t="n">
        <x:v>1843.5</x:v>
      </x:c>
      <x:c r="P284" s="64" t="n">
        <x:v>66366.06</x:v>
      </x:c>
      <x:c r="Q284" s="64" t="n">
        <x:v>32214.94</x:v>
      </x:c>
      <x:c r="R284" s="10" t="n">
        <x:v>12</x:v>
      </x:c>
      <x:c r="S284" s="10" t="n">
        <x:v>1</x:v>
      </x:c>
      <x:c r="T284" s="10" t="n">
        <x:v>1</x:v>
      </x:c>
      <x:c r="U284" s="10" t="str">
        <x:v>Completed</x:v>
      </x:c>
      <x:c r="V284" s="10" t="n">
        <x:v>30</x:v>
      </x:c>
      <x:c r="W284" s="10" t="str">
        <x:f>XLOOKUP(F284,'产品维表'!$A$2:$A$5,'产品维表'!$D$2:$D$5,"未映射")</x:f>
        <x:v>L</x:v>
      </x:c>
      <x:c r="X284" s="10" t="str">
        <x:f>XLOOKUP(F284,'产品维表'!$A$2:$A$5,'产品维表'!$B$2:$B$5,"未映射")</x:f>
        <x:v>L1</x:v>
      </x:c>
      <x:c r="Y284" s="10" t="str">
        <x:f>XLOOKUP(G284,'渠道维表'!$A$2:$A$4,'渠道维表'!$B$2:$B$4,"未映射")</x:f>
        <x:v>区域经销</x:v>
      </x:c>
      <x:c r="Z284" s="10" t="str">
        <x:f>XLOOKUP(H284,'区域维表'!$A$2:$A$5,'区域维表'!$B$2:$B$5,"未映射")</x:f>
        <x:v>华北</x:v>
      </x:c>
      <x:c r="AA284" s="10" t="n">
        <x:f>XLOOKUP(B284,'日期维表'!$A$2:$A$43,'日期维表'!$F$2:$F$43,0)</x:f>
        <x:v>14</x:v>
      </x:c>
    </x:row>
    <x:row r="285" ht="15" hidden="0" customHeight="1">
      <x:c r="A285" s="10" t="str">
        <x:v>SO00284</x:v>
      </x:c>
      <x:c r="B285" s="10" t="n">
        <x:v>202504</x:v>
      </x:c>
      <x:c r="C285" s="10" t="n">
        <x:v>45768</x:v>
      </x:c>
      <x:c r="D285" s="10" t="n">
        <x:v>45774</x:v>
      </x:c>
      <x:c r="E285" s="10" t="n">
        <x:v>45774</x:v>
      </x:c>
      <x:c r="F285" s="10" t="n">
        <x:v>101</x:v>
      </x:c>
      <x:c r="G285" s="10" t="n">
        <x:v>1</x:v>
      </x:c>
      <x:c r="H285" s="10" t="n">
        <x:v>3</x:v>
      </x:c>
      <x:c r="I285" s="10" t="n">
        <x:v>33</x:v>
      </x:c>
      <x:c r="J285" s="10" t="n">
        <x:v>33</x:v>
      </x:c>
      <x:c r="K285" s="64" t="n">
        <x:v>2873.79</x:v>
      </x:c>
      <x:c r="L285" s="64" t="n">
        <x:v>94835</x:v>
      </x:c>
      <x:c r="M285" s="64" t="n">
        <x:v>0</x:v>
      </x:c>
      <x:c r="N285" s="64" t="n">
        <x:v>94835</x:v>
      </x:c>
      <x:c r="O285" s="64" t="n">
        <x:v>1802.39</x:v>
      </x:c>
      <x:c r="P285" s="64" t="n">
        <x:v>59478.95</x:v>
      </x:c>
      <x:c r="Q285" s="64" t="n">
        <x:v>35356.05</x:v>
      </x:c>
      <x:c r="R285" s="10" t="n">
        <x:v>6</x:v>
      </x:c>
      <x:c r="S285" s="10" t="n">
        <x:v>1</x:v>
      </x:c>
      <x:c r="T285" s="10" t="n">
        <x:v>1</x:v>
      </x:c>
      <x:c r="U285" s="10" t="str">
        <x:v>Completed</x:v>
      </x:c>
      <x:c r="V285" s="10" t="n">
        <x:v>0</x:v>
      </x:c>
      <x:c r="W285" s="10" t="str">
        <x:f>XLOOKUP(F285,'产品维表'!$A$2:$A$5,'产品维表'!$D$2:$D$5,"未映射")</x:f>
        <x:v>L</x:v>
      </x:c>
      <x:c r="X285" s="10" t="str">
        <x:f>XLOOKUP(F285,'产品维表'!$A$2:$A$5,'产品维表'!$B$2:$B$5,"未映射")</x:f>
        <x:v>L1</x:v>
      </x:c>
      <x:c r="Y285" s="10" t="str">
        <x:f>XLOOKUP(G285,'渠道维表'!$A$2:$A$4,'渠道维表'!$B$2:$B$4,"未映射")</x:f>
        <x:v>线上直营</x:v>
      </x:c>
      <x:c r="Z285" s="10" t="str">
        <x:f>XLOOKUP(H285,'区域维表'!$A$2:$A$5,'区域维表'!$B$2:$B$5,"未映射")</x:f>
        <x:v>华北</x:v>
      </x:c>
      <x:c r="AA285" s="10" t="n">
        <x:f>XLOOKUP(B285,'日期维表'!$A$2:$A$43,'日期维表'!$F$2:$F$43,0)</x:f>
        <x:v>14</x:v>
      </x:c>
    </x:row>
    <x:row r="286" ht="15" hidden="0" customHeight="1">
      <x:c r="A286" s="10" t="str">
        <x:v>SO00285</x:v>
      </x:c>
      <x:c r="B286" s="10" t="n">
        <x:v>202505</x:v>
      </x:c>
      <x:c r="C286" s="10" t="n">
        <x:v>45784</x:v>
      </x:c>
      <x:c r="D286" s="10" t="n">
        <x:v>45790</x:v>
      </x:c>
      <x:c r="E286" s="10" t="n">
        <x:v>45790</x:v>
      </x:c>
      <x:c r="F286" s="10" t="n">
        <x:v>101</x:v>
      </x:c>
      <x:c r="G286" s="10" t="n">
        <x:v>3</x:v>
      </x:c>
      <x:c r="H286" s="10" t="n">
        <x:v>3</x:v>
      </x:c>
      <x:c r="I286" s="10" t="n">
        <x:v>46</x:v>
      </x:c>
      <x:c r="J286" s="10" t="n">
        <x:v>46</x:v>
      </x:c>
      <x:c r="K286" s="64" t="n">
        <x:v>2678.17</x:v>
      </x:c>
      <x:c r="L286" s="64" t="n">
        <x:v>135380.22</x:v>
      </x:c>
      <x:c r="M286" s="64" t="n">
        <x:v>12184.22</x:v>
      </x:c>
      <x:c r="N286" s="64" t="n">
        <x:v>123196</x:v>
      </x:c>
      <x:c r="O286" s="64" t="n">
        <x:v>1829.63</x:v>
      </x:c>
      <x:c r="P286" s="64" t="n">
        <x:v>84162.99</x:v>
      </x:c>
      <x:c r="Q286" s="64" t="n">
        <x:v>39033.01</x:v>
      </x:c>
      <x:c r="R286" s="10" t="n">
        <x:v>6</x:v>
      </x:c>
      <x:c r="S286" s="10" t="n">
        <x:v>1</x:v>
      </x:c>
      <x:c r="T286" s="10" t="n">
        <x:v>1</x:v>
      </x:c>
      <x:c r="U286" s="10" t="str">
        <x:v>Completed</x:v>
      </x:c>
      <x:c r="V286" s="10" t="n">
        <x:v>30</x:v>
      </x:c>
      <x:c r="W286" s="10" t="str">
        <x:f>XLOOKUP(F286,'产品维表'!$A$2:$A$5,'产品维表'!$D$2:$D$5,"未映射")</x:f>
        <x:v>L</x:v>
      </x:c>
      <x:c r="X286" s="10" t="str">
        <x:f>XLOOKUP(F286,'产品维表'!$A$2:$A$5,'产品维表'!$B$2:$B$5,"未映射")</x:f>
        <x:v>L1</x:v>
      </x:c>
      <x:c r="Y286" s="10" t="str">
        <x:f>XLOOKUP(G286,'渠道维表'!$A$2:$A$4,'渠道维表'!$B$2:$B$4,"未映射")</x:f>
        <x:v>区域经销</x:v>
      </x:c>
      <x:c r="Z286" s="10" t="str">
        <x:f>XLOOKUP(H286,'区域维表'!$A$2:$A$5,'区域维表'!$B$2:$B$5,"未映射")</x:f>
        <x:v>华北</x:v>
      </x:c>
      <x:c r="AA286" s="10" t="n">
        <x:f>XLOOKUP(B286,'日期维表'!$A$2:$A$43,'日期维表'!$F$2:$F$43,0)</x:f>
        <x:v>14</x:v>
      </x:c>
    </x:row>
    <x:row r="287" ht="15" hidden="0" customHeight="1">
      <x:c r="A287" s="10" t="str">
        <x:v>SO00286</x:v>
      </x:c>
      <x:c r="B287" s="10" t="n">
        <x:v>202505</x:v>
      </x:c>
      <x:c r="C287" s="10" t="n">
        <x:v>45797</x:v>
      </x:c>
      <x:c r="D287" s="10" t="n">
        <x:v>45806</x:v>
      </x:c>
      <x:c r="E287" s="10" t="n">
        <x:v>45806</x:v>
      </x:c>
      <x:c r="F287" s="10" t="n">
        <x:v>102</x:v>
      </x:c>
      <x:c r="G287" s="10" t="n">
        <x:v>1</x:v>
      </x:c>
      <x:c r="H287" s="10" t="n">
        <x:v>2</x:v>
      </x:c>
      <x:c r="I287" s="10" t="n">
        <x:v>36</x:v>
      </x:c>
      <x:c r="J287" s="10" t="n">
        <x:v>36</x:v>
      </x:c>
      <x:c r="K287" s="64" t="n">
        <x:v>2747.08</x:v>
      </x:c>
      <x:c r="L287" s="64" t="n">
        <x:v>98895</x:v>
      </x:c>
      <x:c r="M287" s="64" t="n">
        <x:v>0</x:v>
      </x:c>
      <x:c r="N287" s="64" t="n">
        <x:v>98895</x:v>
      </x:c>
      <x:c r="O287" s="64" t="n">
        <x:v>2254.72</x:v>
      </x:c>
      <x:c r="P287" s="64" t="n">
        <x:v>81170.08</x:v>
      </x:c>
      <x:c r="Q287" s="64" t="n">
        <x:v>17724.92</x:v>
      </x:c>
      <x:c r="R287" s="10" t="n">
        <x:v>9</x:v>
      </x:c>
      <x:c r="S287" s="10" t="n">
        <x:v>1</x:v>
      </x:c>
      <x:c r="T287" s="10" t="n">
        <x:v>1</x:v>
      </x:c>
      <x:c r="U287" s="10" t="str">
        <x:v>Completed</x:v>
      </x:c>
      <x:c r="V287" s="10" t="n">
        <x:v>0</x:v>
      </x:c>
      <x:c r="W287" s="10" t="str">
        <x:f>XLOOKUP(F287,'产品维表'!$A$2:$A$5,'产品维表'!$D$2:$D$5,"未映射")</x:f>
        <x:v>L</x:v>
      </x:c>
      <x:c r="X287" s="10" t="str">
        <x:f>XLOOKUP(F287,'产品维表'!$A$2:$A$5,'产品维表'!$B$2:$B$5,"未映射")</x:f>
        <x:v>L2</x:v>
      </x:c>
      <x:c r="Y287" s="10" t="str">
        <x:f>XLOOKUP(G287,'渠道维表'!$A$2:$A$4,'渠道维表'!$B$2:$B$4,"未映射")</x:f>
        <x:v>线上直营</x:v>
      </x:c>
      <x:c r="Z287" s="10" t="str">
        <x:f>XLOOKUP(H287,'区域维表'!$A$2:$A$5,'区域维表'!$B$2:$B$5,"未映射")</x:f>
        <x:v>华南</x:v>
      </x:c>
      <x:c r="AA287" s="10" t="n">
        <x:f>XLOOKUP(B287,'日期维表'!$A$2:$A$43,'日期维表'!$F$2:$F$43,0)</x:f>
        <x:v>14</x:v>
      </x:c>
    </x:row>
    <x:row r="288" ht="15" hidden="0" customHeight="1">
      <x:c r="A288" s="10" t="str">
        <x:v>SO00287</x:v>
      </x:c>
      <x:c r="B288" s="10" t="n">
        <x:v>202505</x:v>
      </x:c>
      <x:c r="C288" s="10" t="n">
        <x:v>45796</x:v>
      </x:c>
      <x:c r="D288" s="10" t="n">
        <x:v>45804</x:v>
      </x:c>
      <x:c r="E288" s="10" t="n">
        <x:v>45804</x:v>
      </x:c>
      <x:c r="F288" s="10" t="n">
        <x:v>101</x:v>
      </x:c>
      <x:c r="G288" s="10" t="n">
        <x:v>3</x:v>
      </x:c>
      <x:c r="H288" s="10" t="n">
        <x:v>2</x:v>
      </x:c>
      <x:c r="I288" s="10" t="n">
        <x:v>43</x:v>
      </x:c>
      <x:c r="J288" s="10" t="n">
        <x:v>43</x:v>
      </x:c>
      <x:c r="K288" s="64" t="n">
        <x:v>2746.21</x:v>
      </x:c>
      <x:c r="L288" s="64" t="n">
        <x:v>129765.93</x:v>
      </x:c>
      <x:c r="M288" s="64" t="n">
        <x:v>11678.93</x:v>
      </x:c>
      <x:c r="N288" s="64" t="n">
        <x:v>118087</x:v>
      </x:c>
      <x:c r="O288" s="64" t="n">
        <x:v>1871.36</x:v>
      </x:c>
      <x:c r="P288" s="64" t="n">
        <x:v>80468.33</x:v>
      </x:c>
      <x:c r="Q288" s="64" t="n">
        <x:v>37618.67</x:v>
      </x:c>
      <x:c r="R288" s="10" t="n">
        <x:v>8</x:v>
      </x:c>
      <x:c r="S288" s="10" t="n">
        <x:v>1</x:v>
      </x:c>
      <x:c r="T288" s="10" t="n">
        <x:v>1</x:v>
      </x:c>
      <x:c r="U288" s="10" t="str">
        <x:v>Completed</x:v>
      </x:c>
      <x:c r="V288" s="10" t="n">
        <x:v>30</x:v>
      </x:c>
      <x:c r="W288" s="10" t="str">
        <x:f>XLOOKUP(F288,'产品维表'!$A$2:$A$5,'产品维表'!$D$2:$D$5,"未映射")</x:f>
        <x:v>L</x:v>
      </x:c>
      <x:c r="X288" s="10" t="str">
        <x:f>XLOOKUP(F288,'产品维表'!$A$2:$A$5,'产品维表'!$B$2:$B$5,"未映射")</x:f>
        <x:v>L1</x:v>
      </x:c>
      <x:c r="Y288" s="10" t="str">
        <x:f>XLOOKUP(G288,'渠道维表'!$A$2:$A$4,'渠道维表'!$B$2:$B$4,"未映射")</x:f>
        <x:v>区域经销</x:v>
      </x:c>
      <x:c r="Z288" s="10" t="str">
        <x:f>XLOOKUP(H288,'区域维表'!$A$2:$A$5,'区域维表'!$B$2:$B$5,"未映射")</x:f>
        <x:v>华南</x:v>
      </x:c>
      <x:c r="AA288" s="10" t="n">
        <x:f>XLOOKUP(B288,'日期维表'!$A$2:$A$43,'日期维表'!$F$2:$F$43,0)</x:f>
        <x:v>14</x:v>
      </x:c>
    </x:row>
    <x:row r="289" ht="15" hidden="0" customHeight="1">
      <x:c r="A289" s="10" t="str">
        <x:v>SO00288</x:v>
      </x:c>
      <x:c r="B289" s="10" t="n">
        <x:v>202505</x:v>
      </x:c>
      <x:c r="C289" s="10" t="n">
        <x:v>45789</x:v>
      </x:c>
      <x:c r="D289" s="10" t="n">
        <x:v>45795</x:v>
      </x:c>
      <x:c r="E289" s="10" t="n">
        <x:v>45795</x:v>
      </x:c>
      <x:c r="F289" s="10" t="n">
        <x:v>102</x:v>
      </x:c>
      <x:c r="G289" s="10" t="n">
        <x:v>2</x:v>
      </x:c>
      <x:c r="H289" s="10" t="n">
        <x:v>3</x:v>
      </x:c>
      <x:c r="I289" s="10" t="n">
        <x:v>42</x:v>
      </x:c>
      <x:c r="J289" s="10" t="n">
        <x:v>42</x:v>
      </x:c>
      <x:c r="K289" s="64" t="n">
        <x:v>2708.21</x:v>
      </x:c>
      <x:c r="L289" s="64" t="n">
        <x:v>117262.89</x:v>
      </x:c>
      <x:c r="M289" s="64" t="n">
        <x:v>3517.89</x:v>
      </x:c>
      <x:c r="N289" s="64" t="n">
        <x:v>113745</x:v>
      </x:c>
      <x:c r="O289" s="64" t="n">
        <x:v>2263.24</x:v>
      </x:c>
      <x:c r="P289" s="64" t="n">
        <x:v>95056.18</x:v>
      </x:c>
      <x:c r="Q289" s="64" t="n">
        <x:v>18688.82</x:v>
      </x:c>
      <x:c r="R289" s="10" t="n">
        <x:v>6</x:v>
      </x:c>
      <x:c r="S289" s="10" t="n">
        <x:v>1</x:v>
      </x:c>
      <x:c r="T289" s="10" t="n">
        <x:v>1</x:v>
      </x:c>
      <x:c r="U289" s="10" t="str">
        <x:v>Completed</x:v>
      </x:c>
      <x:c r="V289" s="10" t="n">
        <x:v>15</x:v>
      </x:c>
      <x:c r="W289" s="10" t="str">
        <x:f>XLOOKUP(F289,'产品维表'!$A$2:$A$5,'产品维表'!$D$2:$D$5,"未映射")</x:f>
        <x:v>L</x:v>
      </x:c>
      <x:c r="X289" s="10" t="str">
        <x:f>XLOOKUP(F289,'产品维表'!$A$2:$A$5,'产品维表'!$B$2:$B$5,"未映射")</x:f>
        <x:v>L2</x:v>
      </x:c>
      <x:c r="Y289" s="10" t="str">
        <x:f>XLOOKUP(G289,'渠道维表'!$A$2:$A$4,'渠道维表'!$B$2:$B$4,"未映射")</x:f>
        <x:v>线下零售</x:v>
      </x:c>
      <x:c r="Z289" s="10" t="str">
        <x:f>XLOOKUP(H289,'区域维表'!$A$2:$A$5,'区域维表'!$B$2:$B$5,"未映射")</x:f>
        <x:v>华北</x:v>
      </x:c>
      <x:c r="AA289" s="10" t="n">
        <x:f>XLOOKUP(B289,'日期维表'!$A$2:$A$43,'日期维表'!$F$2:$F$43,0)</x:f>
        <x:v>14</x:v>
      </x:c>
    </x:row>
    <x:row r="290" ht="15" hidden="0" customHeight="1">
      <x:c r="A290" s="10" t="str">
        <x:v>SO00289</x:v>
      </x:c>
      <x:c r="B290" s="10" t="n">
        <x:v>202505</x:v>
      </x:c>
      <x:c r="C290" s="10" t="n">
        <x:v>45793</x:v>
      </x:c>
      <x:c r="D290" s="10" t="n">
        <x:v>45805</x:v>
      </x:c>
      <x:c r="E290" s="10" t="n">
        <x:v>45805</x:v>
      </x:c>
      <x:c r="F290" s="10" t="n">
        <x:v>102</x:v>
      </x:c>
      <x:c r="G290" s="10" t="n">
        <x:v>2</x:v>
      </x:c>
      <x:c r="H290" s="10" t="n">
        <x:v>3</x:v>
      </x:c>
      <x:c r="I290" s="10" t="n">
        <x:v>33</x:v>
      </x:c>
      <x:c r="J290" s="10" t="n">
        <x:v>33</x:v>
      </x:c>
      <x:c r="K290" s="64" t="n">
        <x:v>2711.24</x:v>
      </x:c>
      <x:c r="L290" s="64" t="n">
        <x:v>92238.14</x:v>
      </x:c>
      <x:c r="M290" s="64" t="n">
        <x:v>2767.14</x:v>
      </x:c>
      <x:c r="N290" s="64" t="n">
        <x:v>89471</x:v>
      </x:c>
      <x:c r="O290" s="64" t="n">
        <x:v>2254.09</x:v>
      </x:c>
      <x:c r="P290" s="64" t="n">
        <x:v>74384.93</x:v>
      </x:c>
      <x:c r="Q290" s="64" t="n">
        <x:v>15086.07</x:v>
      </x:c>
      <x:c r="R290" s="10" t="n">
        <x:v>12</x:v>
      </x:c>
      <x:c r="S290" s="10" t="n">
        <x:v>1</x:v>
      </x:c>
      <x:c r="T290" s="10" t="n">
        <x:v>1</x:v>
      </x:c>
      <x:c r="U290" s="10" t="str">
        <x:v>Completed</x:v>
      </x:c>
      <x:c r="V290" s="10" t="n">
        <x:v>15</x:v>
      </x:c>
      <x:c r="W290" s="10" t="str">
        <x:f>XLOOKUP(F290,'产品维表'!$A$2:$A$5,'产品维表'!$D$2:$D$5,"未映射")</x:f>
        <x:v>L</x:v>
      </x:c>
      <x:c r="X290" s="10" t="str">
        <x:f>XLOOKUP(F290,'产品维表'!$A$2:$A$5,'产品维表'!$B$2:$B$5,"未映射")</x:f>
        <x:v>L2</x:v>
      </x:c>
      <x:c r="Y290" s="10" t="str">
        <x:f>XLOOKUP(G290,'渠道维表'!$A$2:$A$4,'渠道维表'!$B$2:$B$4,"未映射")</x:f>
        <x:v>线下零售</x:v>
      </x:c>
      <x:c r="Z290" s="10" t="str">
        <x:f>XLOOKUP(H290,'区域维表'!$A$2:$A$5,'区域维表'!$B$2:$B$5,"未映射")</x:f>
        <x:v>华北</x:v>
      </x:c>
      <x:c r="AA290" s="10" t="n">
        <x:f>XLOOKUP(B290,'日期维表'!$A$2:$A$43,'日期维表'!$F$2:$F$43,0)</x:f>
        <x:v>14</x:v>
      </x:c>
    </x:row>
    <x:row r="291" ht="15" hidden="0" customHeight="1">
      <x:c r="A291" s="10" t="str">
        <x:v>SO00290</x:v>
      </x:c>
      <x:c r="B291" s="10" t="n">
        <x:v>202505</x:v>
      </x:c>
      <x:c r="C291" s="10" t="n">
        <x:v>45797</x:v>
      </x:c>
      <x:c r="D291" s="10" t="n">
        <x:v>45804</x:v>
      </x:c>
      <x:c r="E291" s="10" t="n">
        <x:v>45804</x:v>
      </x:c>
      <x:c r="F291" s="10" t="n">
        <x:v>102</x:v>
      </x:c>
      <x:c r="G291" s="10" t="n">
        <x:v>3</x:v>
      </x:c>
      <x:c r="H291" s="10" t="n">
        <x:v>1</x:v>
      </x:c>
      <x:c r="I291" s="10" t="n">
        <x:v>53</x:v>
      </x:c>
      <x:c r="J291" s="10" t="n">
        <x:v>53</x:v>
      </x:c>
      <x:c r="K291" s="64" t="n">
        <x:v>2748.75</x:v>
      </x:c>
      <x:c r="L291" s="64" t="n">
        <x:v>160092.31</x:v>
      </x:c>
      <x:c r="M291" s="64" t="n">
        <x:v>14408.31</x:v>
      </x:c>
      <x:c r="N291" s="64" t="n">
        <x:v>145684</x:v>
      </x:c>
      <x:c r="O291" s="64" t="n">
        <x:v>2238.44</x:v>
      </x:c>
      <x:c r="P291" s="64" t="n">
        <x:v>118637.39</x:v>
      </x:c>
      <x:c r="Q291" s="64" t="n">
        <x:v>27046.61</x:v>
      </x:c>
      <x:c r="R291" s="10" t="n">
        <x:v>7</x:v>
      </x:c>
      <x:c r="S291" s="10" t="n">
        <x:v>1</x:v>
      </x:c>
      <x:c r="T291" s="10" t="n">
        <x:v>1</x:v>
      </x:c>
      <x:c r="U291" s="10" t="str">
        <x:v>Completed</x:v>
      </x:c>
      <x:c r="V291" s="10" t="n">
        <x:v>30</x:v>
      </x:c>
      <x:c r="W291" s="10" t="str">
        <x:f>XLOOKUP(F291,'产品维表'!$A$2:$A$5,'产品维表'!$D$2:$D$5,"未映射")</x:f>
        <x:v>L</x:v>
      </x:c>
      <x:c r="X291" s="10" t="str">
        <x:f>XLOOKUP(F291,'产品维表'!$A$2:$A$5,'产品维表'!$B$2:$B$5,"未映射")</x:f>
        <x:v>L2</x:v>
      </x:c>
      <x:c r="Y291" s="10" t="str">
        <x:f>XLOOKUP(G291,'渠道维表'!$A$2:$A$4,'渠道维表'!$B$2:$B$4,"未映射")</x:f>
        <x:v>区域经销</x:v>
      </x:c>
      <x:c r="Z291" s="10" t="str">
        <x:f>XLOOKUP(H291,'区域维表'!$A$2:$A$5,'区域维表'!$B$2:$B$5,"未映射")</x:f>
        <x:v>华东</x:v>
      </x:c>
      <x:c r="AA291" s="10" t="n">
        <x:f>XLOOKUP(B291,'日期维表'!$A$2:$A$43,'日期维表'!$F$2:$F$43,0)</x:f>
        <x:v>14</x:v>
      </x:c>
    </x:row>
    <x:row r="292" ht="15" hidden="0" customHeight="1">
      <x:c r="A292" s="10" t="str">
        <x:v>SO00291</x:v>
      </x:c>
      <x:c r="B292" s="10" t="n">
        <x:v>202505</x:v>
      </x:c>
      <x:c r="C292" s="10" t="n">
        <x:v>45781</x:v>
      </x:c>
      <x:c r="D292" s="10" t="n">
        <x:v>45788</x:v>
      </x:c>
      <x:c r="E292" s="10" t="n">
        <x:v>45788</x:v>
      </x:c>
      <x:c r="F292" s="10" t="n">
        <x:v>101</x:v>
      </x:c>
      <x:c r="G292" s="10" t="n">
        <x:v>2</x:v>
      </x:c>
      <x:c r="H292" s="10" t="n">
        <x:v>2</x:v>
      </x:c>
      <x:c r="I292" s="10" t="n">
        <x:v>32</x:v>
      </x:c>
      <x:c r="J292" s="10" t="n">
        <x:v>32</x:v>
      </x:c>
      <x:c r="K292" s="64" t="n">
        <x:v>2912.72</x:v>
      </x:c>
      <x:c r="L292" s="64" t="n">
        <x:v>96089.69</x:v>
      </x:c>
      <x:c r="M292" s="64" t="n">
        <x:v>2882.69</x:v>
      </x:c>
      <x:c r="N292" s="64" t="n">
        <x:v>93207</x:v>
      </x:c>
      <x:c r="O292" s="64" t="n">
        <x:v>1823.72</x:v>
      </x:c>
      <x:c r="P292" s="64" t="n">
        <x:v>58358.92</x:v>
      </x:c>
      <x:c r="Q292" s="64" t="n">
        <x:v>34848.08</x:v>
      </x:c>
      <x:c r="R292" s="10" t="n">
        <x:v>7</x:v>
      </x:c>
      <x:c r="S292" s="10" t="n">
        <x:v>1</x:v>
      </x:c>
      <x:c r="T292" s="10" t="n">
        <x:v>1</x:v>
      </x:c>
      <x:c r="U292" s="10" t="str">
        <x:v>Completed</x:v>
      </x:c>
      <x:c r="V292" s="10" t="n">
        <x:v>15</x:v>
      </x:c>
      <x:c r="W292" s="10" t="str">
        <x:f>XLOOKUP(F292,'产品维表'!$A$2:$A$5,'产品维表'!$D$2:$D$5,"未映射")</x:f>
        <x:v>L</x:v>
      </x:c>
      <x:c r="X292" s="10" t="str">
        <x:f>XLOOKUP(F292,'产品维表'!$A$2:$A$5,'产品维表'!$B$2:$B$5,"未映射")</x:f>
        <x:v>L1</x:v>
      </x:c>
      <x:c r="Y292" s="10" t="str">
        <x:f>XLOOKUP(G292,'渠道维表'!$A$2:$A$4,'渠道维表'!$B$2:$B$4,"未映射")</x:f>
        <x:v>线下零售</x:v>
      </x:c>
      <x:c r="Z292" s="10" t="str">
        <x:f>XLOOKUP(H292,'区域维表'!$A$2:$A$5,'区域维表'!$B$2:$B$5,"未映射")</x:f>
        <x:v>华南</x:v>
      </x:c>
      <x:c r="AA292" s="10" t="n">
        <x:f>XLOOKUP(B292,'日期维表'!$A$2:$A$43,'日期维表'!$F$2:$F$43,0)</x:f>
        <x:v>14</x:v>
      </x:c>
    </x:row>
    <x:row r="293" ht="15" hidden="0" customHeight="1">
      <x:c r="A293" s="10" t="str">
        <x:v>SO00292</x:v>
      </x:c>
      <x:c r="B293" s="10" t="n">
        <x:v>202505</x:v>
      </x:c>
      <x:c r="C293" s="10" t="n">
        <x:v>45797</x:v>
      </x:c>
      <x:c r="D293" s="10" t="n">
        <x:v>45806</x:v>
      </x:c>
      <x:c r="E293" s="10" t="n">
        <x:v>45806</x:v>
      </x:c>
      <x:c r="F293" s="10" t="n">
        <x:v>102</x:v>
      </x:c>
      <x:c r="G293" s="10" t="n">
        <x:v>1</x:v>
      </x:c>
      <x:c r="H293" s="10" t="n">
        <x:v>2</x:v>
      </x:c>
      <x:c r="I293" s="10" t="n">
        <x:v>51</x:v>
      </x:c>
      <x:c r="J293" s="10" t="n">
        <x:v>51</x:v>
      </x:c>
      <x:c r="K293" s="64" t="n">
        <x:v>2730.06</x:v>
      </x:c>
      <x:c r="L293" s="64" t="n">
        <x:v>139233</x:v>
      </x:c>
      <x:c r="M293" s="64" t="n">
        <x:v>0</x:v>
      </x:c>
      <x:c r="N293" s="64" t="n">
        <x:v>139233</x:v>
      </x:c>
      <x:c r="O293" s="64" t="n">
        <x:v>2285.86</x:v>
      </x:c>
      <x:c r="P293" s="64" t="n">
        <x:v>116579.05</x:v>
      </x:c>
      <x:c r="Q293" s="64" t="n">
        <x:v>22653.95</x:v>
      </x:c>
      <x:c r="R293" s="10" t="n">
        <x:v>9</x:v>
      </x:c>
      <x:c r="S293" s="10" t="n">
        <x:v>1</x:v>
      </x:c>
      <x:c r="T293" s="10" t="n">
        <x:v>1</x:v>
      </x:c>
      <x:c r="U293" s="10" t="str">
        <x:v>Completed</x:v>
      </x:c>
      <x:c r="V293" s="10" t="n">
        <x:v>0</x:v>
      </x:c>
      <x:c r="W293" s="10" t="str">
        <x:f>XLOOKUP(F293,'产品维表'!$A$2:$A$5,'产品维表'!$D$2:$D$5,"未映射")</x:f>
        <x:v>L</x:v>
      </x:c>
      <x:c r="X293" s="10" t="str">
        <x:f>XLOOKUP(F293,'产品维表'!$A$2:$A$5,'产品维表'!$B$2:$B$5,"未映射")</x:f>
        <x:v>L2</x:v>
      </x:c>
      <x:c r="Y293" s="10" t="str">
        <x:f>XLOOKUP(G293,'渠道维表'!$A$2:$A$4,'渠道维表'!$B$2:$B$4,"未映射")</x:f>
        <x:v>线上直营</x:v>
      </x:c>
      <x:c r="Z293" s="10" t="str">
        <x:f>XLOOKUP(H293,'区域维表'!$A$2:$A$5,'区域维表'!$B$2:$B$5,"未映射")</x:f>
        <x:v>华南</x:v>
      </x:c>
      <x:c r="AA293" s="10" t="n">
        <x:f>XLOOKUP(B293,'日期维表'!$A$2:$A$43,'日期维表'!$F$2:$F$43,0)</x:f>
        <x:v>14</x:v>
      </x:c>
    </x:row>
    <x:row r="294" ht="15" hidden="0" customHeight="1">
      <x:c r="A294" s="10" t="str">
        <x:v>SO00293</x:v>
      </x:c>
      <x:c r="B294" s="10" t="n">
        <x:v>202505</x:v>
      </x:c>
      <x:c r="C294" s="10" t="n">
        <x:v>45793</x:v>
      </x:c>
      <x:c r="D294" s="10" t="n">
        <x:v>45800</x:v>
      </x:c>
      <x:c r="E294" s="10" t="n">
        <x:v>45800</x:v>
      </x:c>
      <x:c r="F294" s="10" t="n">
        <x:v>101</x:v>
      </x:c>
      <x:c r="G294" s="10" t="n">
        <x:v>3</x:v>
      </x:c>
      <x:c r="H294" s="10" t="n">
        <x:v>2</x:v>
      </x:c>
      <x:c r="I294" s="10" t="n">
        <x:v>48</x:v>
      </x:c>
      <x:c r="J294" s="10" t="n">
        <x:v>48</x:v>
      </x:c>
      <x:c r="K294" s="64" t="n">
        <x:v>2725</x:v>
      </x:c>
      <x:c r="L294" s="64" t="n">
        <x:v>143736.26</x:v>
      </x:c>
      <x:c r="M294" s="64" t="n">
        <x:v>12936.26</x:v>
      </x:c>
      <x:c r="N294" s="64" t="n">
        <x:v>130800</x:v>
      </x:c>
      <x:c r="O294" s="64" t="n">
        <x:v>1833.76</x:v>
      </x:c>
      <x:c r="P294" s="64" t="n">
        <x:v>88020.66</x:v>
      </x:c>
      <x:c r="Q294" s="64" t="n">
        <x:v>42779.34</x:v>
      </x:c>
      <x:c r="R294" s="10" t="n">
        <x:v>7</x:v>
      </x:c>
      <x:c r="S294" s="10" t="n">
        <x:v>1</x:v>
      </x:c>
      <x:c r="T294" s="10" t="n">
        <x:v>1</x:v>
      </x:c>
      <x:c r="U294" s="10" t="str">
        <x:v>Completed</x:v>
      </x:c>
      <x:c r="V294" s="10" t="n">
        <x:v>30</x:v>
      </x:c>
      <x:c r="W294" s="10" t="str">
        <x:f>XLOOKUP(F294,'产品维表'!$A$2:$A$5,'产品维表'!$D$2:$D$5,"未映射")</x:f>
        <x:v>L</x:v>
      </x:c>
      <x:c r="X294" s="10" t="str">
        <x:f>XLOOKUP(F294,'产品维表'!$A$2:$A$5,'产品维表'!$B$2:$B$5,"未映射")</x:f>
        <x:v>L1</x:v>
      </x:c>
      <x:c r="Y294" s="10" t="str">
        <x:f>XLOOKUP(G294,'渠道维表'!$A$2:$A$4,'渠道维表'!$B$2:$B$4,"未映射")</x:f>
        <x:v>区域经销</x:v>
      </x:c>
      <x:c r="Z294" s="10" t="str">
        <x:f>XLOOKUP(H294,'区域维表'!$A$2:$A$5,'区域维表'!$B$2:$B$5,"未映射")</x:f>
        <x:v>华南</x:v>
      </x:c>
      <x:c r="AA294" s="10" t="n">
        <x:f>XLOOKUP(B294,'日期维表'!$A$2:$A$43,'日期维表'!$F$2:$F$43,0)</x:f>
        <x:v>14</x:v>
      </x:c>
    </x:row>
    <x:row r="295" ht="15" hidden="0" customHeight="1">
      <x:c r="A295" s="10" t="str">
        <x:v>SO00294</x:v>
      </x:c>
      <x:c r="B295" s="10" t="n">
        <x:v>202505</x:v>
      </x:c>
      <x:c r="C295" s="10" t="n">
        <x:v>45789</x:v>
      </x:c>
      <x:c r="D295" s="10" t="n">
        <x:v>45800</x:v>
      </x:c>
      <x:c r="E295" s="10" t="n">
        <x:v>45800</x:v>
      </x:c>
      <x:c r="F295" s="10" t="n">
        <x:v>102</x:v>
      </x:c>
      <x:c r="G295" s="10" t="n">
        <x:v>1</x:v>
      </x:c>
      <x:c r="H295" s="10" t="n">
        <x:v>3</x:v>
      </x:c>
      <x:c r="I295" s="10" t="n">
        <x:v>43</x:v>
      </x:c>
      <x:c r="J295" s="10" t="n">
        <x:v>43</x:v>
      </x:c>
      <x:c r="K295" s="64" t="n">
        <x:v>2809</x:v>
      </x:c>
      <x:c r="L295" s="64" t="n">
        <x:v>120787</x:v>
      </x:c>
      <x:c r="M295" s="64" t="n">
        <x:v>0</x:v>
      </x:c>
      <x:c r="N295" s="64" t="n">
        <x:v>120787</x:v>
      </x:c>
      <x:c r="O295" s="64" t="n">
        <x:v>2254.57</x:v>
      </x:c>
      <x:c r="P295" s="64" t="n">
        <x:v>96946.59</x:v>
      </x:c>
      <x:c r="Q295" s="64" t="n">
        <x:v>23840.41</x:v>
      </x:c>
      <x:c r="R295" s="10" t="n">
        <x:v>11</x:v>
      </x:c>
      <x:c r="S295" s="10" t="n">
        <x:v>1</x:v>
      </x:c>
      <x:c r="T295" s="10" t="n">
        <x:v>1</x:v>
      </x:c>
      <x:c r="U295" s="10" t="str">
        <x:v>Completed</x:v>
      </x:c>
      <x:c r="V295" s="10" t="n">
        <x:v>0</x:v>
      </x:c>
      <x:c r="W295" s="10" t="str">
        <x:f>XLOOKUP(F295,'产品维表'!$A$2:$A$5,'产品维表'!$D$2:$D$5,"未映射")</x:f>
        <x:v>L</x:v>
      </x:c>
      <x:c r="X295" s="10" t="str">
        <x:f>XLOOKUP(F295,'产品维表'!$A$2:$A$5,'产品维表'!$B$2:$B$5,"未映射")</x:f>
        <x:v>L2</x:v>
      </x:c>
      <x:c r="Y295" s="10" t="str">
        <x:f>XLOOKUP(G295,'渠道维表'!$A$2:$A$4,'渠道维表'!$B$2:$B$4,"未映射")</x:f>
        <x:v>线上直营</x:v>
      </x:c>
      <x:c r="Z295" s="10" t="str">
        <x:f>XLOOKUP(H295,'区域维表'!$A$2:$A$5,'区域维表'!$B$2:$B$5,"未映射")</x:f>
        <x:v>华北</x:v>
      </x:c>
      <x:c r="AA295" s="10" t="n">
        <x:f>XLOOKUP(B295,'日期维表'!$A$2:$A$43,'日期维表'!$F$2:$F$43,0)</x:f>
        <x:v>14</x:v>
      </x:c>
    </x:row>
    <x:row r="296" ht="15" hidden="0" customHeight="1">
      <x:c r="A296" s="10" t="str">
        <x:v>SO00295</x:v>
      </x:c>
      <x:c r="B296" s="10" t="n">
        <x:v>202505</x:v>
      </x:c>
      <x:c r="C296" s="10" t="n">
        <x:v>45799</x:v>
      </x:c>
      <x:c r="D296" s="10" t="n">
        <x:v>45806</x:v>
      </x:c>
      <x:c r="E296" s="10" t="n">
        <x:v>45806</x:v>
      </x:c>
      <x:c r="F296" s="10" t="n">
        <x:v>101</x:v>
      </x:c>
      <x:c r="G296" s="10" t="n">
        <x:v>2</x:v>
      </x:c>
      <x:c r="H296" s="10" t="n">
        <x:v>1</x:v>
      </x:c>
      <x:c r="I296" s="10" t="n">
        <x:v>46</x:v>
      </x:c>
      <x:c r="J296" s="10" t="n">
        <x:v>46</x:v>
      </x:c>
      <x:c r="K296" s="64" t="n">
        <x:v>2675.63</x:v>
      </x:c>
      <x:c r="L296" s="64" t="n">
        <x:v>126885.57</x:v>
      </x:c>
      <x:c r="M296" s="64" t="n">
        <x:v>3806.57</x:v>
      </x:c>
      <x:c r="N296" s="64" t="n">
        <x:v>123079</x:v>
      </x:c>
      <x:c r="O296" s="64" t="n">
        <x:v>1863.56</x:v>
      </x:c>
      <x:c r="P296" s="64" t="n">
        <x:v>85723.63</x:v>
      </x:c>
      <x:c r="Q296" s="64" t="n">
        <x:v>37355.37</x:v>
      </x:c>
      <x:c r="R296" s="10" t="n">
        <x:v>7</x:v>
      </x:c>
      <x:c r="S296" s="10" t="n">
        <x:v>1</x:v>
      </x:c>
      <x:c r="T296" s="10" t="n">
        <x:v>1</x:v>
      </x:c>
      <x:c r="U296" s="10" t="str">
        <x:v>Completed</x:v>
      </x:c>
      <x:c r="V296" s="10" t="n">
        <x:v>15</x:v>
      </x:c>
      <x:c r="W296" s="10" t="str">
        <x:f>XLOOKUP(F296,'产品维表'!$A$2:$A$5,'产品维表'!$D$2:$D$5,"未映射")</x:f>
        <x:v>L</x:v>
      </x:c>
      <x:c r="X296" s="10" t="str">
        <x:f>XLOOKUP(F296,'产品维表'!$A$2:$A$5,'产品维表'!$B$2:$B$5,"未映射")</x:f>
        <x:v>L1</x:v>
      </x:c>
      <x:c r="Y296" s="10" t="str">
        <x:f>XLOOKUP(G296,'渠道维表'!$A$2:$A$4,'渠道维表'!$B$2:$B$4,"未映射")</x:f>
        <x:v>线下零售</x:v>
      </x:c>
      <x:c r="Z296" s="10" t="str">
        <x:f>XLOOKUP(H296,'区域维表'!$A$2:$A$5,'区域维表'!$B$2:$B$5,"未映射")</x:f>
        <x:v>华东</x:v>
      </x:c>
      <x:c r="AA296" s="10" t="n">
        <x:f>XLOOKUP(B296,'日期维表'!$A$2:$A$43,'日期维表'!$F$2:$F$43,0)</x:f>
        <x:v>14</x:v>
      </x:c>
    </x:row>
    <x:row r="297" ht="15" hidden="0" customHeight="1">
      <x:c r="A297" s="10" t="str">
        <x:v>SO00296</x:v>
      </x:c>
      <x:c r="B297" s="10" t="n">
        <x:v>202505</x:v>
      </x:c>
      <x:c r="C297" s="10" t="n">
        <x:v>45793</x:v>
      </x:c>
      <x:c r="D297" s="10" t="n">
        <x:v>45800</x:v>
      </x:c>
      <x:c r="E297" s="10" t="n">
        <x:v>45800</x:v>
      </x:c>
      <x:c r="F297" s="10" t="n">
        <x:v>102</x:v>
      </x:c>
      <x:c r="G297" s="10" t="n">
        <x:v>3</x:v>
      </x:c>
      <x:c r="H297" s="10" t="n">
        <x:v>2</x:v>
      </x:c>
      <x:c r="I297" s="10" t="n">
        <x:v>29</x:v>
      </x:c>
      <x:c r="J297" s="10" t="n">
        <x:v>29</x:v>
      </x:c>
      <x:c r="K297" s="64" t="n">
        <x:v>2661.07</x:v>
      </x:c>
      <x:c r="L297" s="64" t="n">
        <x:v>84803.3</x:v>
      </x:c>
      <x:c r="M297" s="64" t="n">
        <x:v>7632.3</x:v>
      </x:c>
      <x:c r="N297" s="64" t="n">
        <x:v>77171</x:v>
      </x:c>
      <x:c r="O297" s="64" t="n">
        <x:v>2282.46</x:v>
      </x:c>
      <x:c r="P297" s="64" t="n">
        <x:v>66191.25</x:v>
      </x:c>
      <x:c r="Q297" s="64" t="n">
        <x:v>10979.75</x:v>
      </x:c>
      <x:c r="R297" s="10" t="n">
        <x:v>7</x:v>
      </x:c>
      <x:c r="S297" s="10" t="n">
        <x:v>1</x:v>
      </x:c>
      <x:c r="T297" s="10" t="n">
        <x:v>1</x:v>
      </x:c>
      <x:c r="U297" s="10" t="str">
        <x:v>Completed</x:v>
      </x:c>
      <x:c r="V297" s="10" t="n">
        <x:v>30</x:v>
      </x:c>
      <x:c r="W297" s="10" t="str">
        <x:f>XLOOKUP(F297,'产品维表'!$A$2:$A$5,'产品维表'!$D$2:$D$5,"未映射")</x:f>
        <x:v>L</x:v>
      </x:c>
      <x:c r="X297" s="10" t="str">
        <x:f>XLOOKUP(F297,'产品维表'!$A$2:$A$5,'产品维表'!$B$2:$B$5,"未映射")</x:f>
        <x:v>L2</x:v>
      </x:c>
      <x:c r="Y297" s="10" t="str">
        <x:f>XLOOKUP(G297,'渠道维表'!$A$2:$A$4,'渠道维表'!$B$2:$B$4,"未映射")</x:f>
        <x:v>区域经销</x:v>
      </x:c>
      <x:c r="Z297" s="10" t="str">
        <x:f>XLOOKUP(H297,'区域维表'!$A$2:$A$5,'区域维表'!$B$2:$B$5,"未映射")</x:f>
        <x:v>华南</x:v>
      </x:c>
      <x:c r="AA297" s="10" t="n">
        <x:f>XLOOKUP(B297,'日期维表'!$A$2:$A$43,'日期维表'!$F$2:$F$43,0)</x:f>
        <x:v>14</x:v>
      </x:c>
    </x:row>
    <x:row r="298" ht="15" hidden="0" customHeight="1">
      <x:c r="A298" s="10" t="str">
        <x:v>SO00297</x:v>
      </x:c>
      <x:c r="B298" s="10" t="n">
        <x:v>202505</x:v>
      </x:c>
      <x:c r="C298" s="10" t="n">
        <x:v>45788</x:v>
      </x:c>
      <x:c r="D298" s="10" t="n">
        <x:v>45796</x:v>
      </x:c>
      <x:c r="E298" s="10" t="n">
        <x:v>45796</x:v>
      </x:c>
      <x:c r="F298" s="10" t="n">
        <x:v>102</x:v>
      </x:c>
      <x:c r="G298" s="10" t="n">
        <x:v>3</x:v>
      </x:c>
      <x:c r="H298" s="10" t="n">
        <x:v>4</x:v>
      </x:c>
      <x:c r="I298" s="10" t="n">
        <x:v>49</x:v>
      </x:c>
      <x:c r="J298" s="10" t="n">
        <x:v>49</x:v>
      </x:c>
      <x:c r="K298" s="64" t="n">
        <x:v>2875.92</x:v>
      </x:c>
      <x:c r="L298" s="64" t="n">
        <x:v>154857.14</x:v>
      </x:c>
      <x:c r="M298" s="64" t="n">
        <x:v>13937.14</x:v>
      </x:c>
      <x:c r="N298" s="64" t="n">
        <x:v>140920</x:v>
      </x:c>
      <x:c r="O298" s="64" t="n">
        <x:v>2261.63</x:v>
      </x:c>
      <x:c r="P298" s="64" t="n">
        <x:v>110819.95</x:v>
      </x:c>
      <x:c r="Q298" s="64" t="n">
        <x:v>30100.05</x:v>
      </x:c>
      <x:c r="R298" s="10" t="n">
        <x:v>8</x:v>
      </x:c>
      <x:c r="S298" s="10" t="n">
        <x:v>1</x:v>
      </x:c>
      <x:c r="T298" s="10" t="n">
        <x:v>1</x:v>
      </x:c>
      <x:c r="U298" s="10" t="str">
        <x:v>Completed</x:v>
      </x:c>
      <x:c r="V298" s="10" t="n">
        <x:v>30</x:v>
      </x:c>
      <x:c r="W298" s="10" t="str">
        <x:f>XLOOKUP(F298,'产品维表'!$A$2:$A$5,'产品维表'!$D$2:$D$5,"未映射")</x:f>
        <x:v>L</x:v>
      </x:c>
      <x:c r="X298" s="10" t="str">
        <x:f>XLOOKUP(F298,'产品维表'!$A$2:$A$5,'产品维表'!$B$2:$B$5,"未映射")</x:f>
        <x:v>L2</x:v>
      </x:c>
      <x:c r="Y298" s="10" t="str">
        <x:f>XLOOKUP(G298,'渠道维表'!$A$2:$A$4,'渠道维表'!$B$2:$B$4,"未映射")</x:f>
        <x:v>区域经销</x:v>
      </x:c>
      <x:c r="Z298" s="10" t="str">
        <x:f>XLOOKUP(H298,'区域维表'!$A$2:$A$5,'区域维表'!$B$2:$B$5,"未映射")</x:f>
        <x:v>中西部</x:v>
      </x:c>
      <x:c r="AA298" s="10" t="n">
        <x:f>XLOOKUP(B298,'日期维表'!$A$2:$A$43,'日期维表'!$F$2:$F$43,0)</x:f>
        <x:v>14</x:v>
      </x:c>
    </x:row>
    <x:row r="299" ht="15" hidden="0" customHeight="1">
      <x:c r="A299" s="10" t="str">
        <x:v>SO00298</x:v>
      </x:c>
      <x:c r="B299" s="10" t="n">
        <x:v>202505</x:v>
      </x:c>
      <x:c r="C299" s="10" t="n">
        <x:v>45786</x:v>
      </x:c>
      <x:c r="D299" s="10" t="n">
        <x:v>45795</x:v>
      </x:c>
      <x:c r="E299" s="10" t="n">
        <x:v>45795</x:v>
      </x:c>
      <x:c r="F299" s="10" t="n">
        <x:v>102</x:v>
      </x:c>
      <x:c r="G299" s="10" t="n">
        <x:v>3</x:v>
      </x:c>
      <x:c r="H299" s="10" t="n">
        <x:v>1</x:v>
      </x:c>
      <x:c r="I299" s="10" t="n">
        <x:v>32</x:v>
      </x:c>
      <x:c r="J299" s="10" t="n">
        <x:v>32</x:v>
      </x:c>
      <x:c r="K299" s="64" t="n">
        <x:v>2754.12</x:v>
      </x:c>
      <x:c r="L299" s="64" t="n">
        <x:v>96848.35</x:v>
      </x:c>
      <x:c r="M299" s="64" t="n">
        <x:v>8716.35</x:v>
      </x:c>
      <x:c r="N299" s="64" t="n">
        <x:v>88132</x:v>
      </x:c>
      <x:c r="O299" s="64" t="n">
        <x:v>2278.37</x:v>
      </x:c>
      <x:c r="P299" s="64" t="n">
        <x:v>72907.7</x:v>
      </x:c>
      <x:c r="Q299" s="64" t="n">
        <x:v>15224.3</x:v>
      </x:c>
      <x:c r="R299" s="10" t="n">
        <x:v>9</x:v>
      </x:c>
      <x:c r="S299" s="10" t="n">
        <x:v>1</x:v>
      </x:c>
      <x:c r="T299" s="10" t="n">
        <x:v>1</x:v>
      </x:c>
      <x:c r="U299" s="10" t="str">
        <x:v>Completed</x:v>
      </x:c>
      <x:c r="V299" s="10" t="n">
        <x:v>30</x:v>
      </x:c>
      <x:c r="W299" s="10" t="str">
        <x:f>XLOOKUP(F299,'产品维表'!$A$2:$A$5,'产品维表'!$D$2:$D$5,"未映射")</x:f>
        <x:v>L</x:v>
      </x:c>
      <x:c r="X299" s="10" t="str">
        <x:f>XLOOKUP(F299,'产品维表'!$A$2:$A$5,'产品维表'!$B$2:$B$5,"未映射")</x:f>
        <x:v>L2</x:v>
      </x:c>
      <x:c r="Y299" s="10" t="str">
        <x:f>XLOOKUP(G299,'渠道维表'!$A$2:$A$4,'渠道维表'!$B$2:$B$4,"未映射")</x:f>
        <x:v>区域经销</x:v>
      </x:c>
      <x:c r="Z299" s="10" t="str">
        <x:f>XLOOKUP(H299,'区域维表'!$A$2:$A$5,'区域维表'!$B$2:$B$5,"未映射")</x:f>
        <x:v>华东</x:v>
      </x:c>
      <x:c r="AA299" s="10" t="n">
        <x:f>XLOOKUP(B299,'日期维表'!$A$2:$A$43,'日期维表'!$F$2:$F$43,0)</x:f>
        <x:v>14</x:v>
      </x:c>
    </x:row>
    <x:row r="300" ht="15" hidden="0" customHeight="1">
      <x:c r="A300" s="10" t="str">
        <x:v>SO00299</x:v>
      </x:c>
      <x:c r="B300" s="10" t="n">
        <x:v>202505</x:v>
      </x:c>
      <x:c r="C300" s="10" t="n">
        <x:v>45801</x:v>
      </x:c>
      <x:c r="D300" s="10" t="n">
        <x:v>45811</x:v>
      </x:c>
      <x:c r="E300" s="10" t="n">
        <x:v>45811</x:v>
      </x:c>
      <x:c r="F300" s="10" t="n">
        <x:v>101</x:v>
      </x:c>
      <x:c r="G300" s="10" t="n">
        <x:v>3</x:v>
      </x:c>
      <x:c r="H300" s="10" t="n">
        <x:v>2</x:v>
      </x:c>
      <x:c r="I300" s="10" t="n">
        <x:v>29</x:v>
      </x:c>
      <x:c r="J300" s="10" t="n">
        <x:v>29</x:v>
      </x:c>
      <x:c r="K300" s="64" t="n">
        <x:v>2956.59</x:v>
      </x:c>
      <x:c r="L300" s="64" t="n">
        <x:v>94220.88</x:v>
      </x:c>
      <x:c r="M300" s="64" t="n">
        <x:v>8479.88</x:v>
      </x:c>
      <x:c r="N300" s="64" t="n">
        <x:v>85741</x:v>
      </x:c>
      <x:c r="O300" s="64" t="n">
        <x:v>1853.49</x:v>
      </x:c>
      <x:c r="P300" s="64" t="n">
        <x:v>53751.32</x:v>
      </x:c>
      <x:c r="Q300" s="64" t="n">
        <x:v>31989.68</x:v>
      </x:c>
      <x:c r="R300" s="10" t="n">
        <x:v>10</x:v>
      </x:c>
      <x:c r="S300" s="10" t="n">
        <x:v>1</x:v>
      </x:c>
      <x:c r="T300" s="10" t="n">
        <x:v>1</x:v>
      </x:c>
      <x:c r="U300" s="10" t="str">
        <x:v>Completed</x:v>
      </x:c>
      <x:c r="V300" s="10" t="n">
        <x:v>30</x:v>
      </x:c>
      <x:c r="W300" s="10" t="str">
        <x:f>XLOOKUP(F300,'产品维表'!$A$2:$A$5,'产品维表'!$D$2:$D$5,"未映射")</x:f>
        <x:v>L</x:v>
      </x:c>
      <x:c r="X300" s="10" t="str">
        <x:f>XLOOKUP(F300,'产品维表'!$A$2:$A$5,'产品维表'!$B$2:$B$5,"未映射")</x:f>
        <x:v>L1</x:v>
      </x:c>
      <x:c r="Y300" s="10" t="str">
        <x:f>XLOOKUP(G300,'渠道维表'!$A$2:$A$4,'渠道维表'!$B$2:$B$4,"未映射")</x:f>
        <x:v>区域经销</x:v>
      </x:c>
      <x:c r="Z300" s="10" t="str">
        <x:f>XLOOKUP(H300,'区域维表'!$A$2:$A$5,'区域维表'!$B$2:$B$5,"未映射")</x:f>
        <x:v>华南</x:v>
      </x:c>
      <x:c r="AA300" s="10" t="n">
        <x:f>XLOOKUP(B300,'日期维表'!$A$2:$A$43,'日期维表'!$F$2:$F$43,0)</x:f>
        <x:v>14</x:v>
      </x:c>
    </x:row>
    <x:row r="301" ht="15" hidden="0" customHeight="1">
      <x:c r="A301" s="10" t="str">
        <x:v>SO00300</x:v>
      </x:c>
      <x:c r="B301" s="10" t="n">
        <x:v>202505</x:v>
      </x:c>
      <x:c r="C301" s="10" t="n">
        <x:v>45783</x:v>
      </x:c>
      <x:c r="D301" s="10" t="n">
        <x:v>45795</x:v>
      </x:c>
      <x:c r="E301" s="10" t="n">
        <x:v>45795</x:v>
      </x:c>
      <x:c r="F301" s="10" t="n">
        <x:v>102</x:v>
      </x:c>
      <x:c r="G301" s="10" t="n">
        <x:v>3</x:v>
      </x:c>
      <x:c r="H301" s="10" t="n">
        <x:v>2</x:v>
      </x:c>
      <x:c r="I301" s="10" t="n">
        <x:v>45</x:v>
      </x:c>
      <x:c r="J301" s="10" t="n">
        <x:v>45</x:v>
      </x:c>
      <x:c r="K301" s="64" t="n">
        <x:v>2667.33</x:v>
      </x:c>
      <x:c r="L301" s="64" t="n">
        <x:v>131901.1</x:v>
      </x:c>
      <x:c r="M301" s="64" t="n">
        <x:v>11871.1</x:v>
      </x:c>
      <x:c r="N301" s="64" t="n">
        <x:v>120030</x:v>
      </x:c>
      <x:c r="O301" s="64" t="n">
        <x:v>2279.35</x:v>
      </x:c>
      <x:c r="P301" s="64" t="n">
        <x:v>102570.96</x:v>
      </x:c>
      <x:c r="Q301" s="64" t="n">
        <x:v>17459.04</x:v>
      </x:c>
      <x:c r="R301" s="10" t="n">
        <x:v>12</x:v>
      </x:c>
      <x:c r="S301" s="10" t="n">
        <x:v>1</x:v>
      </x:c>
      <x:c r="T301" s="10" t="n">
        <x:v>1</x:v>
      </x:c>
      <x:c r="U301" s="10" t="str">
        <x:v>Completed</x:v>
      </x:c>
      <x:c r="V301" s="10" t="n">
        <x:v>30</x:v>
      </x:c>
      <x:c r="W301" s="10" t="str">
        <x:f>XLOOKUP(F301,'产品维表'!$A$2:$A$5,'产品维表'!$D$2:$D$5,"未映射")</x:f>
        <x:v>L</x:v>
      </x:c>
      <x:c r="X301" s="10" t="str">
        <x:f>XLOOKUP(F301,'产品维表'!$A$2:$A$5,'产品维表'!$B$2:$B$5,"未映射")</x:f>
        <x:v>L2</x:v>
      </x:c>
      <x:c r="Y301" s="10" t="str">
        <x:f>XLOOKUP(G301,'渠道维表'!$A$2:$A$4,'渠道维表'!$B$2:$B$4,"未映射")</x:f>
        <x:v>区域经销</x:v>
      </x:c>
      <x:c r="Z301" s="10" t="str">
        <x:f>XLOOKUP(H301,'区域维表'!$A$2:$A$5,'区域维表'!$B$2:$B$5,"未映射")</x:f>
        <x:v>华南</x:v>
      </x:c>
      <x:c r="AA301" s="10" t="n">
        <x:f>XLOOKUP(B301,'日期维表'!$A$2:$A$43,'日期维表'!$F$2:$F$43,0)</x:f>
        <x:v>14</x:v>
      </x:c>
    </x:row>
    <x:row r="302" ht="15" hidden="0" customHeight="1">
      <x:c r="A302" s="10" t="str">
        <x:v>SO00301</x:v>
      </x:c>
      <x:c r="B302" s="10" t="n">
        <x:v>202505</x:v>
      </x:c>
      <x:c r="C302" s="10" t="n">
        <x:v>45789</x:v>
      </x:c>
      <x:c r="D302" s="10" t="n">
        <x:v>45800</x:v>
      </x:c>
      <x:c r="E302" s="10" t="n">
        <x:v>45800</x:v>
      </x:c>
      <x:c r="F302" s="10" t="n">
        <x:v>102</x:v>
      </x:c>
      <x:c r="G302" s="10" t="n">
        <x:v>3</x:v>
      </x:c>
      <x:c r="H302" s="10" t="n">
        <x:v>1</x:v>
      </x:c>
      <x:c r="I302" s="10" t="n">
        <x:v>36</x:v>
      </x:c>
      <x:c r="J302" s="10" t="n">
        <x:v>36</x:v>
      </x:c>
      <x:c r="K302" s="64" t="n">
        <x:v>2979.31</x:v>
      </x:c>
      <x:c r="L302" s="64" t="n">
        <x:v>117862.64</x:v>
      </x:c>
      <x:c r="M302" s="64" t="n">
        <x:v>10607.64</x:v>
      </x:c>
      <x:c r="N302" s="64" t="n">
        <x:v>107255</x:v>
      </x:c>
      <x:c r="O302" s="64" t="n">
        <x:v>2295.72</x:v>
      </x:c>
      <x:c r="P302" s="64" t="n">
        <x:v>82646.03</x:v>
      </x:c>
      <x:c r="Q302" s="64" t="n">
        <x:v>24608.97</x:v>
      </x:c>
      <x:c r="R302" s="10" t="n">
        <x:v>11</x:v>
      </x:c>
      <x:c r="S302" s="10" t="n">
        <x:v>1</x:v>
      </x:c>
      <x:c r="T302" s="10" t="n">
        <x:v>1</x:v>
      </x:c>
      <x:c r="U302" s="10" t="str">
        <x:v>Completed</x:v>
      </x:c>
      <x:c r="V302" s="10" t="n">
        <x:v>30</x:v>
      </x:c>
      <x:c r="W302" s="10" t="str">
        <x:f>XLOOKUP(F302,'产品维表'!$A$2:$A$5,'产品维表'!$D$2:$D$5,"未映射")</x:f>
        <x:v>L</x:v>
      </x:c>
      <x:c r="X302" s="10" t="str">
        <x:f>XLOOKUP(F302,'产品维表'!$A$2:$A$5,'产品维表'!$B$2:$B$5,"未映射")</x:f>
        <x:v>L2</x:v>
      </x:c>
      <x:c r="Y302" s="10" t="str">
        <x:f>XLOOKUP(G302,'渠道维表'!$A$2:$A$4,'渠道维表'!$B$2:$B$4,"未映射")</x:f>
        <x:v>区域经销</x:v>
      </x:c>
      <x:c r="Z302" s="10" t="str">
        <x:f>XLOOKUP(H302,'区域维表'!$A$2:$A$5,'区域维表'!$B$2:$B$5,"未映射")</x:f>
        <x:v>华东</x:v>
      </x:c>
      <x:c r="AA302" s="10" t="n">
        <x:f>XLOOKUP(B302,'日期维表'!$A$2:$A$43,'日期维表'!$F$2:$F$43,0)</x:f>
        <x:v>14</x:v>
      </x:c>
    </x:row>
    <x:row r="303" ht="15" hidden="0" customHeight="1">
      <x:c r="A303" s="10" t="str">
        <x:v>SO00302</x:v>
      </x:c>
      <x:c r="B303" s="10" t="n">
        <x:v>202505</x:v>
      </x:c>
      <x:c r="C303" s="10" t="n">
        <x:v>45792</x:v>
      </x:c>
      <x:c r="D303" s="10" t="n">
        <x:v>45801</x:v>
      </x:c>
      <x:c r="E303" s="10" t="n">
        <x:v>45803</x:v>
      </x:c>
      <x:c r="F303" s="10" t="n">
        <x:v>101</x:v>
      </x:c>
      <x:c r="G303" s="10" t="n">
        <x:v>3</x:v>
      </x:c>
      <x:c r="H303" s="10" t="n">
        <x:v>1</x:v>
      </x:c>
      <x:c r="I303" s="10" t="n">
        <x:v>42</x:v>
      </x:c>
      <x:c r="J303" s="10" t="n">
        <x:v>42</x:v>
      </x:c>
      <x:c r="K303" s="64" t="n">
        <x:v>2684.4</x:v>
      </x:c>
      <x:c r="L303" s="64" t="n">
        <x:v>123895.6</x:v>
      </x:c>
      <x:c r="M303" s="64" t="n">
        <x:v>11150.6</x:v>
      </x:c>
      <x:c r="N303" s="64" t="n">
        <x:v>112745</x:v>
      </x:c>
      <x:c r="O303" s="64" t="n">
        <x:v>1824.85</x:v>
      </x:c>
      <x:c r="P303" s="64" t="n">
        <x:v>76643.86</x:v>
      </x:c>
      <x:c r="Q303" s="64" t="n">
        <x:v>36101.14</x:v>
      </x:c>
      <x:c r="R303" s="10" t="n">
        <x:v>11</x:v>
      </x:c>
      <x:c r="S303" s="10" t="n">
        <x:v>0</x:v>
      </x:c>
      <x:c r="T303" s="10" t="n">
        <x:v>1</x:v>
      </x:c>
      <x:c r="U303" s="10" t="str">
        <x:v>Completed</x:v>
      </x:c>
      <x:c r="V303" s="10" t="n">
        <x:v>30</x:v>
      </x:c>
      <x:c r="W303" s="10" t="str">
        <x:f>XLOOKUP(F303,'产品维表'!$A$2:$A$5,'产品维表'!$D$2:$D$5,"未映射")</x:f>
        <x:v>L</x:v>
      </x:c>
      <x:c r="X303" s="10" t="str">
        <x:f>XLOOKUP(F303,'产品维表'!$A$2:$A$5,'产品维表'!$B$2:$B$5,"未映射")</x:f>
        <x:v>L1</x:v>
      </x:c>
      <x:c r="Y303" s="10" t="str">
        <x:f>XLOOKUP(G303,'渠道维表'!$A$2:$A$4,'渠道维表'!$B$2:$B$4,"未映射")</x:f>
        <x:v>区域经销</x:v>
      </x:c>
      <x:c r="Z303" s="10" t="str">
        <x:f>XLOOKUP(H303,'区域维表'!$A$2:$A$5,'区域维表'!$B$2:$B$5,"未映射")</x:f>
        <x:v>华东</x:v>
      </x:c>
      <x:c r="AA303" s="10" t="n">
        <x:f>XLOOKUP(B303,'日期维表'!$A$2:$A$43,'日期维表'!$F$2:$F$43,0)</x:f>
        <x:v>14</x:v>
      </x:c>
    </x:row>
    <x:row r="304" ht="15" hidden="0" customHeight="1">
      <x:c r="A304" s="10" t="str">
        <x:v>SO00303</x:v>
      </x:c>
      <x:c r="B304" s="10" t="n">
        <x:v>202505</x:v>
      </x:c>
      <x:c r="C304" s="10" t="n">
        <x:v>45790</x:v>
      </x:c>
      <x:c r="D304" s="10" t="n">
        <x:v>45797</x:v>
      </x:c>
      <x:c r="E304" s="10" t="n">
        <x:v>45797</x:v>
      </x:c>
      <x:c r="F304" s="10" t="n">
        <x:v>101</x:v>
      </x:c>
      <x:c r="G304" s="10" t="n">
        <x:v>3</x:v>
      </x:c>
      <x:c r="H304" s="10" t="n">
        <x:v>2</x:v>
      </x:c>
      <x:c r="I304" s="10" t="n">
        <x:v>51</x:v>
      </x:c>
      <x:c r="J304" s="10" t="n">
        <x:v>51</x:v>
      </x:c>
      <x:c r="K304" s="64" t="n">
        <x:v>2622.8</x:v>
      </x:c>
      <x:c r="L304" s="64" t="n">
        <x:v>146992.31</x:v>
      </x:c>
      <x:c r="M304" s="64" t="n">
        <x:v>13229.31</x:v>
      </x:c>
      <x:c r="N304" s="64" t="n">
        <x:v>133763</x:v>
      </x:c>
      <x:c r="O304" s="64" t="n">
        <x:v>1835.76</x:v>
      </x:c>
      <x:c r="P304" s="64" t="n">
        <x:v>93623.64</x:v>
      </x:c>
      <x:c r="Q304" s="64" t="n">
        <x:v>40139.36</x:v>
      </x:c>
      <x:c r="R304" s="10" t="n">
        <x:v>7</x:v>
      </x:c>
      <x:c r="S304" s="10" t="n">
        <x:v>1</x:v>
      </x:c>
      <x:c r="T304" s="10" t="n">
        <x:v>1</x:v>
      </x:c>
      <x:c r="U304" s="10" t="str">
        <x:v>Completed</x:v>
      </x:c>
      <x:c r="V304" s="10" t="n">
        <x:v>30</x:v>
      </x:c>
      <x:c r="W304" s="10" t="str">
        <x:f>XLOOKUP(F304,'产品维表'!$A$2:$A$5,'产品维表'!$D$2:$D$5,"未映射")</x:f>
        <x:v>L</x:v>
      </x:c>
      <x:c r="X304" s="10" t="str">
        <x:f>XLOOKUP(F304,'产品维表'!$A$2:$A$5,'产品维表'!$B$2:$B$5,"未映射")</x:f>
        <x:v>L1</x:v>
      </x:c>
      <x:c r="Y304" s="10" t="str">
        <x:f>XLOOKUP(G304,'渠道维表'!$A$2:$A$4,'渠道维表'!$B$2:$B$4,"未映射")</x:f>
        <x:v>区域经销</x:v>
      </x:c>
      <x:c r="Z304" s="10" t="str">
        <x:f>XLOOKUP(H304,'区域维表'!$A$2:$A$5,'区域维表'!$B$2:$B$5,"未映射")</x:f>
        <x:v>华南</x:v>
      </x:c>
      <x:c r="AA304" s="10" t="n">
        <x:f>XLOOKUP(B304,'日期维表'!$A$2:$A$43,'日期维表'!$F$2:$F$43,0)</x:f>
        <x:v>14</x:v>
      </x:c>
    </x:row>
    <x:row r="305" ht="15" hidden="0" customHeight="1">
      <x:c r="A305" s="10" t="str">
        <x:v>SO00304</x:v>
      </x:c>
      <x:c r="B305" s="10" t="n">
        <x:v>202506</x:v>
      </x:c>
      <x:c r="C305" s="10" t="n">
        <x:v>45814</x:v>
      </x:c>
      <x:c r="D305" s="10" t="n">
        <x:v>45826</x:v>
      </x:c>
      <x:c r="E305" s="10" t="n">
        <x:v>45826</x:v>
      </x:c>
      <x:c r="F305" s="10" t="n">
        <x:v>101</x:v>
      </x:c>
      <x:c r="G305" s="10" t="n">
        <x:v>1</x:v>
      </x:c>
      <x:c r="H305" s="10" t="n">
        <x:v>2</x:v>
      </x:c>
      <x:c r="I305" s="10" t="n">
        <x:v>26</x:v>
      </x:c>
      <x:c r="J305" s="10" t="n">
        <x:v>26</x:v>
      </x:c>
      <x:c r="K305" s="64" t="n">
        <x:v>2558.65</x:v>
      </x:c>
      <x:c r="L305" s="64" t="n">
        <x:v>66525</x:v>
      </x:c>
      <x:c r="M305" s="64" t="n">
        <x:v>0</x:v>
      </x:c>
      <x:c r="N305" s="64" t="n">
        <x:v>66525</x:v>
      </x:c>
      <x:c r="O305" s="64" t="n">
        <x:v>1822.59</x:v>
      </x:c>
      <x:c r="P305" s="64" t="n">
        <x:v>47387.32</x:v>
      </x:c>
      <x:c r="Q305" s="64" t="n">
        <x:v>19137.68</x:v>
      </x:c>
      <x:c r="R305" s="10" t="n">
        <x:v>12</x:v>
      </x:c>
      <x:c r="S305" s="10" t="n">
        <x:v>1</x:v>
      </x:c>
      <x:c r="T305" s="10" t="n">
        <x:v>1</x:v>
      </x:c>
      <x:c r="U305" s="10" t="str">
        <x:v>Completed</x:v>
      </x:c>
      <x:c r="V305" s="10" t="n">
        <x:v>0</x:v>
      </x:c>
      <x:c r="W305" s="10" t="str">
        <x:f>XLOOKUP(F305,'产品维表'!$A$2:$A$5,'产品维表'!$D$2:$D$5,"未映射")</x:f>
        <x:v>L</x:v>
      </x:c>
      <x:c r="X305" s="10" t="str">
        <x:f>XLOOKUP(F305,'产品维表'!$A$2:$A$5,'产品维表'!$B$2:$B$5,"未映射")</x:f>
        <x:v>L1</x:v>
      </x:c>
      <x:c r="Y305" s="10" t="str">
        <x:f>XLOOKUP(G305,'渠道维表'!$A$2:$A$4,'渠道维表'!$B$2:$B$4,"未映射")</x:f>
        <x:v>线上直营</x:v>
      </x:c>
      <x:c r="Z305" s="10" t="str">
        <x:f>XLOOKUP(H305,'区域维表'!$A$2:$A$5,'区域维表'!$B$2:$B$5,"未映射")</x:f>
        <x:v>华南</x:v>
      </x:c>
      <x:c r="AA305" s="10" t="n">
        <x:f>XLOOKUP(B305,'日期维表'!$A$2:$A$43,'日期维表'!$F$2:$F$43,0)</x:f>
        <x:v>14</x:v>
      </x:c>
    </x:row>
    <x:row r="306" ht="15" hidden="0" customHeight="1">
      <x:c r="A306" s="10" t="str">
        <x:v>SO00305</x:v>
      </x:c>
      <x:c r="B306" s="10" t="n">
        <x:v>202506</x:v>
      </x:c>
      <x:c r="C306" s="10" t="n">
        <x:v>45829</x:v>
      </x:c>
      <x:c r="D306" s="10" t="n">
        <x:v>45837</x:v>
      </x:c>
      <x:c r="E306" s="10" t="n">
        <x:v>45837</x:v>
      </x:c>
      <x:c r="F306" s="10" t="n">
        <x:v>101</x:v>
      </x:c>
      <x:c r="G306" s="10" t="n">
        <x:v>3</x:v>
      </x:c>
      <x:c r="H306" s="10" t="n">
        <x:v>2</x:v>
      </x:c>
      <x:c r="I306" s="10" t="n">
        <x:v>28</x:v>
      </x:c>
      <x:c r="J306" s="10" t="n">
        <x:v>28</x:v>
      </x:c>
      <x:c r="K306" s="64" t="n">
        <x:v>2846.57</x:v>
      </x:c>
      <x:c r="L306" s="64" t="n">
        <x:v>87586.81</x:v>
      </x:c>
      <x:c r="M306" s="64" t="n">
        <x:v>7882.81</x:v>
      </x:c>
      <x:c r="N306" s="64" t="n">
        <x:v>79704</x:v>
      </x:c>
      <x:c r="O306" s="64" t="n">
        <x:v>1799.9</x:v>
      </x:c>
      <x:c r="P306" s="64" t="n">
        <x:v>50397.11</x:v>
      </x:c>
      <x:c r="Q306" s="64" t="n">
        <x:v>29306.89</x:v>
      </x:c>
      <x:c r="R306" s="10" t="n">
        <x:v>8</x:v>
      </x:c>
      <x:c r="S306" s="10" t="n">
        <x:v>1</x:v>
      </x:c>
      <x:c r="T306" s="10" t="n">
        <x:v>1</x:v>
      </x:c>
      <x:c r="U306" s="10" t="str">
        <x:v>Completed</x:v>
      </x:c>
      <x:c r="V306" s="10" t="n">
        <x:v>30</x:v>
      </x:c>
      <x:c r="W306" s="10" t="str">
        <x:f>XLOOKUP(F306,'产品维表'!$A$2:$A$5,'产品维表'!$D$2:$D$5,"未映射")</x:f>
        <x:v>L</x:v>
      </x:c>
      <x:c r="X306" s="10" t="str">
        <x:f>XLOOKUP(F306,'产品维表'!$A$2:$A$5,'产品维表'!$B$2:$B$5,"未映射")</x:f>
        <x:v>L1</x:v>
      </x:c>
      <x:c r="Y306" s="10" t="str">
        <x:f>XLOOKUP(G306,'渠道维表'!$A$2:$A$4,'渠道维表'!$B$2:$B$4,"未映射")</x:f>
        <x:v>区域经销</x:v>
      </x:c>
      <x:c r="Z306" s="10" t="str">
        <x:f>XLOOKUP(H306,'区域维表'!$A$2:$A$5,'区域维表'!$B$2:$B$5,"未映射")</x:f>
        <x:v>华南</x:v>
      </x:c>
      <x:c r="AA306" s="10" t="n">
        <x:f>XLOOKUP(B306,'日期维表'!$A$2:$A$43,'日期维表'!$F$2:$F$43,0)</x:f>
        <x:v>14</x:v>
      </x:c>
    </x:row>
    <x:row r="307" ht="15" hidden="0" customHeight="1">
      <x:c r="A307" s="10" t="str">
        <x:v>SO00306</x:v>
      </x:c>
      <x:c r="B307" s="10" t="n">
        <x:v>202506</x:v>
      </x:c>
      <x:c r="C307" s="10" t="n">
        <x:v>45818</x:v>
      </x:c>
      <x:c r="D307" s="10" t="n">
        <x:v>45828</x:v>
      </x:c>
      <x:c r="E307" s="10" t="n">
        <x:v>45828</x:v>
      </x:c>
      <x:c r="F307" s="10" t="n">
        <x:v>102</x:v>
      </x:c>
      <x:c r="G307" s="10" t="n">
        <x:v>2</x:v>
      </x:c>
      <x:c r="H307" s="10" t="n">
        <x:v>3</x:v>
      </x:c>
      <x:c r="I307" s="10" t="n">
        <x:v>64</x:v>
      </x:c>
      <x:c r="J307" s="10" t="n">
        <x:v>64</x:v>
      </x:c>
      <x:c r="K307" s="64" t="n">
        <x:v>2650.09</x:v>
      </x:c>
      <x:c r="L307" s="64" t="n">
        <x:v>174851.55</x:v>
      </x:c>
      <x:c r="M307" s="64" t="n">
        <x:v>5245.55</x:v>
      </x:c>
      <x:c r="N307" s="64" t="n">
        <x:v>169606</x:v>
      </x:c>
      <x:c r="O307" s="64" t="n">
        <x:v>1960.83</x:v>
      </x:c>
      <x:c r="P307" s="64" t="n">
        <x:v>125493.05</x:v>
      </x:c>
      <x:c r="Q307" s="64" t="n">
        <x:v>44112.95</x:v>
      </x:c>
      <x:c r="R307" s="10" t="n">
        <x:v>10</x:v>
      </x:c>
      <x:c r="S307" s="10" t="n">
        <x:v>1</x:v>
      </x:c>
      <x:c r="T307" s="10" t="n">
        <x:v>1</x:v>
      </x:c>
      <x:c r="U307" s="10" t="str">
        <x:v>Completed</x:v>
      </x:c>
      <x:c r="V307" s="10" t="n">
        <x:v>15</x:v>
      </x:c>
      <x:c r="W307" s="10" t="str">
        <x:f>XLOOKUP(F307,'产品维表'!$A$2:$A$5,'产品维表'!$D$2:$D$5,"未映射")</x:f>
        <x:v>L</x:v>
      </x:c>
      <x:c r="X307" s="10" t="str">
        <x:f>XLOOKUP(F307,'产品维表'!$A$2:$A$5,'产品维表'!$B$2:$B$5,"未映射")</x:f>
        <x:v>L2</x:v>
      </x:c>
      <x:c r="Y307" s="10" t="str">
        <x:f>XLOOKUP(G307,'渠道维表'!$A$2:$A$4,'渠道维表'!$B$2:$B$4,"未映射")</x:f>
        <x:v>线下零售</x:v>
      </x:c>
      <x:c r="Z307" s="10" t="str">
        <x:f>XLOOKUP(H307,'区域维表'!$A$2:$A$5,'区域维表'!$B$2:$B$5,"未映射")</x:f>
        <x:v>华北</x:v>
      </x:c>
      <x:c r="AA307" s="10" t="n">
        <x:f>XLOOKUP(B307,'日期维表'!$A$2:$A$43,'日期维表'!$F$2:$F$43,0)</x:f>
        <x:v>14</x:v>
      </x:c>
    </x:row>
    <x:row r="308" ht="15" hidden="0" customHeight="1">
      <x:c r="A308" s="10" t="str">
        <x:v>SO00307</x:v>
      </x:c>
      <x:c r="B308" s="10" t="n">
        <x:v>202506</x:v>
      </x:c>
      <x:c r="C308" s="10" t="n">
        <x:v>45830</x:v>
      </x:c>
      <x:c r="D308" s="10" t="n">
        <x:v>45836</x:v>
      </x:c>
      <x:c r="E308" s="10" t="n">
        <x:v>45836</x:v>
      </x:c>
      <x:c r="F308" s="10" t="n">
        <x:v>101</x:v>
      </x:c>
      <x:c r="G308" s="10" t="n">
        <x:v>1</x:v>
      </x:c>
      <x:c r="H308" s="10" t="n">
        <x:v>1</x:v>
      </x:c>
      <x:c r="I308" s="10" t="n">
        <x:v>48</x:v>
      </x:c>
      <x:c r="J308" s="10" t="n">
        <x:v>48</x:v>
      </x:c>
      <x:c r="K308" s="64" t="n">
        <x:v>2646</x:v>
      </x:c>
      <x:c r="L308" s="64" t="n">
        <x:v>127008</x:v>
      </x:c>
      <x:c r="M308" s="64" t="n">
        <x:v>0</x:v>
      </x:c>
      <x:c r="N308" s="64" t="n">
        <x:v>127008</x:v>
      </x:c>
      <x:c r="O308" s="64" t="n">
        <x:v>1816.99</x:v>
      </x:c>
      <x:c r="P308" s="64" t="n">
        <x:v>87215.54</x:v>
      </x:c>
      <x:c r="Q308" s="64" t="n">
        <x:v>39792.46</x:v>
      </x:c>
      <x:c r="R308" s="10" t="n">
        <x:v>6</x:v>
      </x:c>
      <x:c r="S308" s="10" t="n">
        <x:v>1</x:v>
      </x:c>
      <x:c r="T308" s="10" t="n">
        <x:v>1</x:v>
      </x:c>
      <x:c r="U308" s="10" t="str">
        <x:v>Completed</x:v>
      </x:c>
      <x:c r="V308" s="10" t="n">
        <x:v>0</x:v>
      </x:c>
      <x:c r="W308" s="10" t="str">
        <x:f>XLOOKUP(F308,'产品维表'!$A$2:$A$5,'产品维表'!$D$2:$D$5,"未映射")</x:f>
        <x:v>L</x:v>
      </x:c>
      <x:c r="X308" s="10" t="str">
        <x:f>XLOOKUP(F308,'产品维表'!$A$2:$A$5,'产品维表'!$B$2:$B$5,"未映射")</x:f>
        <x:v>L1</x:v>
      </x:c>
      <x:c r="Y308" s="10" t="str">
        <x:f>XLOOKUP(G308,'渠道维表'!$A$2:$A$4,'渠道维表'!$B$2:$B$4,"未映射")</x:f>
        <x:v>线上直营</x:v>
      </x:c>
      <x:c r="Z308" s="10" t="str">
        <x:f>XLOOKUP(H308,'区域维表'!$A$2:$A$5,'区域维表'!$B$2:$B$5,"未映射")</x:f>
        <x:v>华东</x:v>
      </x:c>
      <x:c r="AA308" s="10" t="n">
        <x:f>XLOOKUP(B308,'日期维表'!$A$2:$A$43,'日期维表'!$F$2:$F$43,0)</x:f>
        <x:v>14</x:v>
      </x:c>
    </x:row>
    <x:row r="309" ht="15" hidden="0" customHeight="1">
      <x:c r="A309" s="10" t="str">
        <x:v>SO00308</x:v>
      </x:c>
      <x:c r="B309" s="10" t="n">
        <x:v>202506</x:v>
      </x:c>
      <x:c r="C309" s="10" t="n">
        <x:v>45829</x:v>
      </x:c>
      <x:c r="D309" s="10" t="n">
        <x:v>45841</x:v>
      </x:c>
      <x:c r="E309" s="10" t="n">
        <x:v>45841</x:v>
      </x:c>
      <x:c r="F309" s="10" t="n">
        <x:v>101</x:v>
      </x:c>
      <x:c r="G309" s="10" t="n">
        <x:v>2</x:v>
      </x:c>
      <x:c r="H309" s="10" t="n">
        <x:v>2</x:v>
      </x:c>
      <x:c r="I309" s="10" t="n">
        <x:v>28</x:v>
      </x:c>
      <x:c r="J309" s="10" t="n">
        <x:v>28</x:v>
      </x:c>
      <x:c r="K309" s="64" t="n">
        <x:v>2748.5</x:v>
      </x:c>
      <x:c r="L309" s="64" t="n">
        <x:v>79338.14</x:v>
      </x:c>
      <x:c r="M309" s="64" t="n">
        <x:v>2380.14</x:v>
      </x:c>
      <x:c r="N309" s="64" t="n">
        <x:v>76958</x:v>
      </x:c>
      <x:c r="O309" s="64" t="n">
        <x:v>1861.36</x:v>
      </x:c>
      <x:c r="P309" s="64" t="n">
        <x:v>52118.03</x:v>
      </x:c>
      <x:c r="Q309" s="64" t="n">
        <x:v>24839.97</x:v>
      </x:c>
      <x:c r="R309" s="10" t="n">
        <x:v>12</x:v>
      </x:c>
      <x:c r="S309" s="10" t="n">
        <x:v>1</x:v>
      </x:c>
      <x:c r="T309" s="10" t="n">
        <x:v>1</x:v>
      </x:c>
      <x:c r="U309" s="10" t="str">
        <x:v>Completed</x:v>
      </x:c>
      <x:c r="V309" s="10" t="n">
        <x:v>15</x:v>
      </x:c>
      <x:c r="W309" s="10" t="str">
        <x:f>XLOOKUP(F309,'产品维表'!$A$2:$A$5,'产品维表'!$D$2:$D$5,"未映射")</x:f>
        <x:v>L</x:v>
      </x:c>
      <x:c r="X309" s="10" t="str">
        <x:f>XLOOKUP(F309,'产品维表'!$A$2:$A$5,'产品维表'!$B$2:$B$5,"未映射")</x:f>
        <x:v>L1</x:v>
      </x:c>
      <x:c r="Y309" s="10" t="str">
        <x:f>XLOOKUP(G309,'渠道维表'!$A$2:$A$4,'渠道维表'!$B$2:$B$4,"未映射")</x:f>
        <x:v>线下零售</x:v>
      </x:c>
      <x:c r="Z309" s="10" t="str">
        <x:f>XLOOKUP(H309,'区域维表'!$A$2:$A$5,'区域维表'!$B$2:$B$5,"未映射")</x:f>
        <x:v>华南</x:v>
      </x:c>
      <x:c r="AA309" s="10" t="n">
        <x:f>XLOOKUP(B309,'日期维表'!$A$2:$A$43,'日期维表'!$F$2:$F$43,0)</x:f>
        <x:v>14</x:v>
      </x:c>
    </x:row>
    <x:row r="310" ht="15" hidden="0" customHeight="1">
      <x:c r="A310" s="10" t="str">
        <x:v>SO00309</x:v>
      </x:c>
      <x:c r="B310" s="10" t="n">
        <x:v>202506</x:v>
      </x:c>
      <x:c r="C310" s="10" t="n">
        <x:v>45821</x:v>
      </x:c>
      <x:c r="D310" s="10" t="n">
        <x:v>45827</x:v>
      </x:c>
      <x:c r="E310" s="10" t="n">
        <x:v>45828</x:v>
      </x:c>
      <x:c r="F310" s="10" t="n">
        <x:v>102</x:v>
      </x:c>
      <x:c r="G310" s="10" t="n">
        <x:v>3</x:v>
      </x:c>
      <x:c r="H310" s="10" t="n">
        <x:v>3</x:v>
      </x:c>
      <x:c r="I310" s="10" t="n">
        <x:v>52</x:v>
      </x:c>
      <x:c r="J310" s="10" t="n">
        <x:v>52</x:v>
      </x:c>
      <x:c r="K310" s="64" t="n">
        <x:v>2905.71</x:v>
      </x:c>
      <x:c r="L310" s="64" t="n">
        <x:v>166040.66</x:v>
      </x:c>
      <x:c r="M310" s="64" t="n">
        <x:v>14943.66</x:v>
      </x:c>
      <x:c r="N310" s="64" t="n">
        <x:v>151097</x:v>
      </x:c>
      <x:c r="O310" s="64" t="n">
        <x:v>2247.69</x:v>
      </x:c>
      <x:c r="P310" s="64" t="n">
        <x:v>116879.87</x:v>
      </x:c>
      <x:c r="Q310" s="64" t="n">
        <x:v>34217.13</x:v>
      </x:c>
      <x:c r="R310" s="10" t="n">
        <x:v>7</x:v>
      </x:c>
      <x:c r="S310" s="10" t="n">
        <x:v>0</x:v>
      </x:c>
      <x:c r="T310" s="10" t="n">
        <x:v>1</x:v>
      </x:c>
      <x:c r="U310" s="10" t="str">
        <x:v>Completed</x:v>
      </x:c>
      <x:c r="V310" s="10" t="n">
        <x:v>30</x:v>
      </x:c>
      <x:c r="W310" s="10" t="str">
        <x:f>XLOOKUP(F310,'产品维表'!$A$2:$A$5,'产品维表'!$D$2:$D$5,"未映射")</x:f>
        <x:v>L</x:v>
      </x:c>
      <x:c r="X310" s="10" t="str">
        <x:f>XLOOKUP(F310,'产品维表'!$A$2:$A$5,'产品维表'!$B$2:$B$5,"未映射")</x:f>
        <x:v>L2</x:v>
      </x:c>
      <x:c r="Y310" s="10" t="str">
        <x:f>XLOOKUP(G310,'渠道维表'!$A$2:$A$4,'渠道维表'!$B$2:$B$4,"未映射")</x:f>
        <x:v>区域经销</x:v>
      </x:c>
      <x:c r="Z310" s="10" t="str">
        <x:f>XLOOKUP(H310,'区域维表'!$A$2:$A$5,'区域维表'!$B$2:$B$5,"未映射")</x:f>
        <x:v>华北</x:v>
      </x:c>
      <x:c r="AA310" s="10" t="n">
        <x:f>XLOOKUP(B310,'日期维表'!$A$2:$A$43,'日期维表'!$F$2:$F$43,0)</x:f>
        <x:v>14</x:v>
      </x:c>
    </x:row>
    <x:row r="311" ht="15" hidden="0" customHeight="1">
      <x:c r="A311" s="10" t="str">
        <x:v>SO00310</x:v>
      </x:c>
      <x:c r="B311" s="10" t="n">
        <x:v>202506</x:v>
      </x:c>
      <x:c r="C311" s="10" t="n">
        <x:v>45830</x:v>
      </x:c>
      <x:c r="D311" s="10" t="n">
        <x:v>45842</x:v>
      </x:c>
      <x:c r="E311" s="10" t="n">
        <x:v>45842</x:v>
      </x:c>
      <x:c r="F311" s="10" t="n">
        <x:v>102</x:v>
      </x:c>
      <x:c r="G311" s="10" t="n">
        <x:v>2</x:v>
      </x:c>
      <x:c r="H311" s="10" t="n">
        <x:v>4</x:v>
      </x:c>
      <x:c r="I311" s="10" t="n">
        <x:v>61</x:v>
      </x:c>
      <x:c r="J311" s="10" t="n">
        <x:v>61</x:v>
      </x:c>
      <x:c r="K311" s="64" t="n">
        <x:v>2704.82</x:v>
      </x:c>
      <x:c r="L311" s="64" t="n">
        <x:v>170096.91</x:v>
      </x:c>
      <x:c r="M311" s="64" t="n">
        <x:v>5102.91</x:v>
      </x:c>
      <x:c r="N311" s="64" t="n">
        <x:v>164994</x:v>
      </x:c>
      <x:c r="O311" s="64" t="n">
        <x:v>2197</x:v>
      </x:c>
      <x:c r="P311" s="64" t="n">
        <x:v>134017.12</x:v>
      </x:c>
      <x:c r="Q311" s="64" t="n">
        <x:v>30976.88</x:v>
      </x:c>
      <x:c r="R311" s="10" t="n">
        <x:v>12</x:v>
      </x:c>
      <x:c r="S311" s="10" t="n">
        <x:v>1</x:v>
      </x:c>
      <x:c r="T311" s="10" t="n">
        <x:v>1</x:v>
      </x:c>
      <x:c r="U311" s="10" t="str">
        <x:v>Completed</x:v>
      </x:c>
      <x:c r="V311" s="10" t="n">
        <x:v>15</x:v>
      </x:c>
      <x:c r="W311" s="10" t="str">
        <x:f>XLOOKUP(F311,'产品维表'!$A$2:$A$5,'产品维表'!$D$2:$D$5,"未映射")</x:f>
        <x:v>L</x:v>
      </x:c>
      <x:c r="X311" s="10" t="str">
        <x:f>XLOOKUP(F311,'产品维表'!$A$2:$A$5,'产品维表'!$B$2:$B$5,"未映射")</x:f>
        <x:v>L2</x:v>
      </x:c>
      <x:c r="Y311" s="10" t="str">
        <x:f>XLOOKUP(G311,'渠道维表'!$A$2:$A$4,'渠道维表'!$B$2:$B$4,"未映射")</x:f>
        <x:v>线下零售</x:v>
      </x:c>
      <x:c r="Z311" s="10" t="str">
        <x:f>XLOOKUP(H311,'区域维表'!$A$2:$A$5,'区域维表'!$B$2:$B$5,"未映射")</x:f>
        <x:v>中西部</x:v>
      </x:c>
      <x:c r="AA311" s="10" t="n">
        <x:f>XLOOKUP(B311,'日期维表'!$A$2:$A$43,'日期维表'!$F$2:$F$43,0)</x:f>
        <x:v>14</x:v>
      </x:c>
    </x:row>
    <x:row r="312" ht="15" hidden="0" customHeight="1">
      <x:c r="A312" s="10" t="str">
        <x:v>SO00311</x:v>
      </x:c>
      <x:c r="B312" s="10" t="n">
        <x:v>202506</x:v>
      </x:c>
      <x:c r="C312" s="10" t="n">
        <x:v>45825</x:v>
      </x:c>
      <x:c r="D312" s="10" t="n">
        <x:v>45833</x:v>
      </x:c>
      <x:c r="E312" s="10" t="n">
        <x:v>45833</x:v>
      </x:c>
      <x:c r="F312" s="10" t="n">
        <x:v>102</x:v>
      </x:c>
      <x:c r="G312" s="10" t="n">
        <x:v>3</x:v>
      </x:c>
      <x:c r="H312" s="10" t="n">
        <x:v>4</x:v>
      </x:c>
      <x:c r="I312" s="10" t="n">
        <x:v>32</x:v>
      </x:c>
      <x:c r="J312" s="10" t="n">
        <x:v>32</x:v>
      </x:c>
      <x:c r="K312" s="64" t="n">
        <x:v>2715.34</x:v>
      </x:c>
      <x:c r="L312" s="64" t="n">
        <x:v>95484.62</x:v>
      </x:c>
      <x:c r="M312" s="64" t="n">
        <x:v>8593.62</x:v>
      </x:c>
      <x:c r="N312" s="64" t="n">
        <x:v>86891</x:v>
      </x:c>
      <x:c r="O312" s="64" t="n">
        <x:v>2246.24</x:v>
      </x:c>
      <x:c r="P312" s="64" t="n">
        <x:v>71879.53</x:v>
      </x:c>
      <x:c r="Q312" s="64" t="n">
        <x:v>15011.47</x:v>
      </x:c>
      <x:c r="R312" s="10" t="n">
        <x:v>8</x:v>
      </x:c>
      <x:c r="S312" s="10" t="n">
        <x:v>1</x:v>
      </x:c>
      <x:c r="T312" s="10" t="n">
        <x:v>1</x:v>
      </x:c>
      <x:c r="U312" s="10" t="str">
        <x:v>Completed</x:v>
      </x:c>
      <x:c r="V312" s="10" t="n">
        <x:v>30</x:v>
      </x:c>
      <x:c r="W312" s="10" t="str">
        <x:f>XLOOKUP(F312,'产品维表'!$A$2:$A$5,'产品维表'!$D$2:$D$5,"未映射")</x:f>
        <x:v>L</x:v>
      </x:c>
      <x:c r="X312" s="10" t="str">
        <x:f>XLOOKUP(F312,'产品维表'!$A$2:$A$5,'产品维表'!$B$2:$B$5,"未映射")</x:f>
        <x:v>L2</x:v>
      </x:c>
      <x:c r="Y312" s="10" t="str">
        <x:f>XLOOKUP(G312,'渠道维表'!$A$2:$A$4,'渠道维表'!$B$2:$B$4,"未映射")</x:f>
        <x:v>区域经销</x:v>
      </x:c>
      <x:c r="Z312" s="10" t="str">
        <x:f>XLOOKUP(H312,'区域维表'!$A$2:$A$5,'区域维表'!$B$2:$B$5,"未映射")</x:f>
        <x:v>中西部</x:v>
      </x:c>
      <x:c r="AA312" s="10" t="n">
        <x:f>XLOOKUP(B312,'日期维表'!$A$2:$A$43,'日期维表'!$F$2:$F$43,0)</x:f>
        <x:v>14</x:v>
      </x:c>
    </x:row>
    <x:row r="313" ht="15" hidden="0" customHeight="1">
      <x:c r="A313" s="10" t="str">
        <x:v>SO00312</x:v>
      </x:c>
      <x:c r="B313" s="10" t="n">
        <x:v>202506</x:v>
      </x:c>
      <x:c r="C313" s="10" t="n">
        <x:v>45818</x:v>
      </x:c>
      <x:c r="D313" s="10" t="n">
        <x:v>45825</x:v>
      </x:c>
      <x:c r="E313" s="10" t="n">
        <x:v>45825</x:v>
      </x:c>
      <x:c r="F313" s="10" t="n">
        <x:v>101</x:v>
      </x:c>
      <x:c r="G313" s="10" t="n">
        <x:v>3</x:v>
      </x:c>
      <x:c r="H313" s="10" t="n">
        <x:v>4</x:v>
      </x:c>
      <x:c r="I313" s="10" t="n">
        <x:v>36</x:v>
      </x:c>
      <x:c r="J313" s="10" t="n">
        <x:v>36</x:v>
      </x:c>
      <x:c r="K313" s="64" t="n">
        <x:v>2902.94</x:v>
      </x:c>
      <x:c r="L313" s="64" t="n">
        <x:v>114841.76</x:v>
      </x:c>
      <x:c r="M313" s="64" t="n">
        <x:v>10335.76</x:v>
      </x:c>
      <x:c r="N313" s="64" t="n">
        <x:v>104506</x:v>
      </x:c>
      <x:c r="O313" s="64" t="n">
        <x:v>1836.44</x:v>
      </x:c>
      <x:c r="P313" s="64" t="n">
        <x:v>66111.99</x:v>
      </x:c>
      <x:c r="Q313" s="64" t="n">
        <x:v>38394.01</x:v>
      </x:c>
      <x:c r="R313" s="10" t="n">
        <x:v>7</x:v>
      </x:c>
      <x:c r="S313" s="10" t="n">
        <x:v>1</x:v>
      </x:c>
      <x:c r="T313" s="10" t="n">
        <x:v>1</x:v>
      </x:c>
      <x:c r="U313" s="10" t="str">
        <x:v>Completed</x:v>
      </x:c>
      <x:c r="V313" s="10" t="n">
        <x:v>30</x:v>
      </x:c>
      <x:c r="W313" s="10" t="str">
        <x:f>XLOOKUP(F313,'产品维表'!$A$2:$A$5,'产品维表'!$D$2:$D$5,"未映射")</x:f>
        <x:v>L</x:v>
      </x:c>
      <x:c r="X313" s="10" t="str">
        <x:f>XLOOKUP(F313,'产品维表'!$A$2:$A$5,'产品维表'!$B$2:$B$5,"未映射")</x:f>
        <x:v>L1</x:v>
      </x:c>
      <x:c r="Y313" s="10" t="str">
        <x:f>XLOOKUP(G313,'渠道维表'!$A$2:$A$4,'渠道维表'!$B$2:$B$4,"未映射")</x:f>
        <x:v>区域经销</x:v>
      </x:c>
      <x:c r="Z313" s="10" t="str">
        <x:f>XLOOKUP(H313,'区域维表'!$A$2:$A$5,'区域维表'!$B$2:$B$5,"未映射")</x:f>
        <x:v>中西部</x:v>
      </x:c>
      <x:c r="AA313" s="10" t="n">
        <x:f>XLOOKUP(B313,'日期维表'!$A$2:$A$43,'日期维表'!$F$2:$F$43,0)</x:f>
        <x:v>14</x:v>
      </x:c>
    </x:row>
    <x:row r="314" ht="15" hidden="0" customHeight="1">
      <x:c r="A314" s="10" t="str">
        <x:v>SO00313</x:v>
      </x:c>
      <x:c r="B314" s="10" t="n">
        <x:v>202506</x:v>
      </x:c>
      <x:c r="C314" s="10" t="n">
        <x:v>45825</x:v>
      </x:c>
      <x:c r="D314" s="10" t="n">
        <x:v>45837</x:v>
      </x:c>
      <x:c r="E314" s="10" t="n">
        <x:v>45837</x:v>
      </x:c>
      <x:c r="F314" s="10" t="n">
        <x:v>102</x:v>
      </x:c>
      <x:c r="G314" s="10" t="n">
        <x:v>3</x:v>
      </x:c>
      <x:c r="H314" s="10" t="n">
        <x:v>3</x:v>
      </x:c>
      <x:c r="I314" s="10" t="n">
        <x:v>48</x:v>
      </x:c>
      <x:c r="J314" s="10" t="n">
        <x:v>48</x:v>
      </x:c>
      <x:c r="K314" s="64" t="n">
        <x:v>2737.48</x:v>
      </x:c>
      <x:c r="L314" s="64" t="n">
        <x:v>144394.51</x:v>
      </x:c>
      <x:c r="M314" s="64" t="n">
        <x:v>12995.51</x:v>
      </x:c>
      <x:c r="N314" s="64" t="n">
        <x:v>131399</x:v>
      </x:c>
      <x:c r="O314" s="64" t="n">
        <x:v>2239.24</x:v>
      </x:c>
      <x:c r="P314" s="64" t="n">
        <x:v>107483.44</x:v>
      </x:c>
      <x:c r="Q314" s="64" t="n">
        <x:v>23915.56</x:v>
      </x:c>
      <x:c r="R314" s="10" t="n">
        <x:v>12</x:v>
      </x:c>
      <x:c r="S314" s="10" t="n">
        <x:v>1</x:v>
      </x:c>
      <x:c r="T314" s="10" t="n">
        <x:v>1</x:v>
      </x:c>
      <x:c r="U314" s="10" t="str">
        <x:v>Completed</x:v>
      </x:c>
      <x:c r="V314" s="10" t="n">
        <x:v>30</x:v>
      </x:c>
      <x:c r="W314" s="10" t="str">
        <x:f>XLOOKUP(F314,'产品维表'!$A$2:$A$5,'产品维表'!$D$2:$D$5,"未映射")</x:f>
        <x:v>L</x:v>
      </x:c>
      <x:c r="X314" s="10" t="str">
        <x:f>XLOOKUP(F314,'产品维表'!$A$2:$A$5,'产品维表'!$B$2:$B$5,"未映射")</x:f>
        <x:v>L2</x:v>
      </x:c>
      <x:c r="Y314" s="10" t="str">
        <x:f>XLOOKUP(G314,'渠道维表'!$A$2:$A$4,'渠道维表'!$B$2:$B$4,"未映射")</x:f>
        <x:v>区域经销</x:v>
      </x:c>
      <x:c r="Z314" s="10" t="str">
        <x:f>XLOOKUP(H314,'区域维表'!$A$2:$A$5,'区域维表'!$B$2:$B$5,"未映射")</x:f>
        <x:v>华北</x:v>
      </x:c>
      <x:c r="AA314" s="10" t="n">
        <x:f>XLOOKUP(B314,'日期维表'!$A$2:$A$43,'日期维表'!$F$2:$F$43,0)</x:f>
        <x:v>14</x:v>
      </x:c>
    </x:row>
    <x:row r="315" ht="15" hidden="0" customHeight="1">
      <x:c r="A315" s="10" t="str">
        <x:v>SO00314</x:v>
      </x:c>
      <x:c r="B315" s="10" t="n">
        <x:v>202506</x:v>
      </x:c>
      <x:c r="C315" s="10" t="n">
        <x:v>45818</x:v>
      </x:c>
      <x:c r="D315" s="10" t="n">
        <x:v>45829</x:v>
      </x:c>
      <x:c r="E315" s="10" t="n">
        <x:v>45829</x:v>
      </x:c>
      <x:c r="F315" s="10" t="n">
        <x:v>101</x:v>
      </x:c>
      <x:c r="G315" s="10" t="n">
        <x:v>3</x:v>
      </x:c>
      <x:c r="H315" s="10" t="n">
        <x:v>1</x:v>
      </x:c>
      <x:c r="I315" s="10" t="n">
        <x:v>45</x:v>
      </x:c>
      <x:c r="J315" s="10" t="n">
        <x:v>45</x:v>
      </x:c>
      <x:c r="K315" s="64" t="n">
        <x:v>2728.62</x:v>
      </x:c>
      <x:c r="L315" s="64" t="n">
        <x:v>134931.87</x:v>
      </x:c>
      <x:c r="M315" s="64" t="n">
        <x:v>12143.87</x:v>
      </x:c>
      <x:c r="N315" s="64" t="n">
        <x:v>122788</x:v>
      </x:c>
      <x:c r="O315" s="64" t="n">
        <x:v>1827.27</x:v>
      </x:c>
      <x:c r="P315" s="64" t="n">
        <x:v>82227.31</x:v>
      </x:c>
      <x:c r="Q315" s="64" t="n">
        <x:v>40560.69</x:v>
      </x:c>
      <x:c r="R315" s="10" t="n">
        <x:v>11</x:v>
      </x:c>
      <x:c r="S315" s="10" t="n">
        <x:v>1</x:v>
      </x:c>
      <x:c r="T315" s="10" t="n">
        <x:v>1</x:v>
      </x:c>
      <x:c r="U315" s="10" t="str">
        <x:v>Completed</x:v>
      </x:c>
      <x:c r="V315" s="10" t="n">
        <x:v>30</x:v>
      </x:c>
      <x:c r="W315" s="10" t="str">
        <x:f>XLOOKUP(F315,'产品维表'!$A$2:$A$5,'产品维表'!$D$2:$D$5,"未映射")</x:f>
        <x:v>L</x:v>
      </x:c>
      <x:c r="X315" s="10" t="str">
        <x:f>XLOOKUP(F315,'产品维表'!$A$2:$A$5,'产品维表'!$B$2:$B$5,"未映射")</x:f>
        <x:v>L1</x:v>
      </x:c>
      <x:c r="Y315" s="10" t="str">
        <x:f>XLOOKUP(G315,'渠道维表'!$A$2:$A$4,'渠道维表'!$B$2:$B$4,"未映射")</x:f>
        <x:v>区域经销</x:v>
      </x:c>
      <x:c r="Z315" s="10" t="str">
        <x:f>XLOOKUP(H315,'区域维表'!$A$2:$A$5,'区域维表'!$B$2:$B$5,"未映射")</x:f>
        <x:v>华东</x:v>
      </x:c>
      <x:c r="AA315" s="10" t="n">
        <x:f>XLOOKUP(B315,'日期维表'!$A$2:$A$43,'日期维表'!$F$2:$F$43,0)</x:f>
        <x:v>14</x:v>
      </x:c>
    </x:row>
    <x:row r="316" ht="15" hidden="0" customHeight="1">
      <x:c r="A316" s="10" t="str">
        <x:v>SO00315</x:v>
      </x:c>
      <x:c r="B316" s="10" t="n">
        <x:v>202506</x:v>
      </x:c>
      <x:c r="C316" s="10" t="n">
        <x:v>45819</x:v>
      </x:c>
      <x:c r="D316" s="10" t="n">
        <x:v>45830</x:v>
      </x:c>
      <x:c r="E316" s="10" t="n">
        <x:v>45830</x:v>
      </x:c>
      <x:c r="F316" s="10" t="n">
        <x:v>101</x:v>
      </x:c>
      <x:c r="G316" s="10" t="n">
        <x:v>3</x:v>
      </x:c>
      <x:c r="H316" s="10" t="n">
        <x:v>4</x:v>
      </x:c>
      <x:c r="I316" s="10" t="n">
        <x:v>59</x:v>
      </x:c>
      <x:c r="J316" s="10" t="n">
        <x:v>59</x:v>
      </x:c>
      <x:c r="K316" s="64" t="n">
        <x:v>2849.46</x:v>
      </x:c>
      <x:c r="L316" s="64" t="n">
        <x:v>184745.05</x:v>
      </x:c>
      <x:c r="M316" s="64" t="n">
        <x:v>16627.05</x:v>
      </x:c>
      <x:c r="N316" s="64" t="n">
        <x:v>168118</x:v>
      </x:c>
      <x:c r="O316" s="64" t="n">
        <x:v>1868.79</x:v>
      </x:c>
      <x:c r="P316" s="64" t="n">
        <x:v>110258.55</x:v>
      </x:c>
      <x:c r="Q316" s="64" t="n">
        <x:v>57859.45</x:v>
      </x:c>
      <x:c r="R316" s="10" t="n">
        <x:v>11</x:v>
      </x:c>
      <x:c r="S316" s="10" t="n">
        <x:v>1</x:v>
      </x:c>
      <x:c r="T316" s="10" t="n">
        <x:v>1</x:v>
      </x:c>
      <x:c r="U316" s="10" t="str">
        <x:v>Completed</x:v>
      </x:c>
      <x:c r="V316" s="10" t="n">
        <x:v>30</x:v>
      </x:c>
      <x:c r="W316" s="10" t="str">
        <x:f>XLOOKUP(F316,'产品维表'!$A$2:$A$5,'产品维表'!$D$2:$D$5,"未映射")</x:f>
        <x:v>L</x:v>
      </x:c>
      <x:c r="X316" s="10" t="str">
        <x:f>XLOOKUP(F316,'产品维表'!$A$2:$A$5,'产品维表'!$B$2:$B$5,"未映射")</x:f>
        <x:v>L1</x:v>
      </x:c>
      <x:c r="Y316" s="10" t="str">
        <x:f>XLOOKUP(G316,'渠道维表'!$A$2:$A$4,'渠道维表'!$B$2:$B$4,"未映射")</x:f>
        <x:v>区域经销</x:v>
      </x:c>
      <x:c r="Z316" s="10" t="str">
        <x:f>XLOOKUP(H316,'区域维表'!$A$2:$A$5,'区域维表'!$B$2:$B$5,"未映射")</x:f>
        <x:v>中西部</x:v>
      </x:c>
      <x:c r="AA316" s="10" t="n">
        <x:f>XLOOKUP(B316,'日期维表'!$A$2:$A$43,'日期维表'!$F$2:$F$43,0)</x:f>
        <x:v>14</x:v>
      </x:c>
    </x:row>
    <x:row r="317" ht="15" hidden="0" customHeight="1">
      <x:c r="A317" s="10" t="str">
        <x:v>SO00316</x:v>
      </x:c>
      <x:c r="B317" s="10" t="n">
        <x:v>202506</x:v>
      </x:c>
      <x:c r="C317" s="10" t="n">
        <x:v>45832</x:v>
      </x:c>
      <x:c r="D317" s="10" t="n">
        <x:v>45842</x:v>
      </x:c>
      <x:c r="E317" s="10" t="n">
        <x:v>45842</x:v>
      </x:c>
      <x:c r="F317" s="10" t="n">
        <x:v>101</x:v>
      </x:c>
      <x:c r="G317" s="10" t="n">
        <x:v>2</x:v>
      </x:c>
      <x:c r="H317" s="10" t="n">
        <x:v>3</x:v>
      </x:c>
      <x:c r="I317" s="10" t="n">
        <x:v>52</x:v>
      </x:c>
      <x:c r="J317" s="10" t="n">
        <x:v>52</x:v>
      </x:c>
      <x:c r="K317" s="64" t="n">
        <x:v>2862.25</x:v>
      </x:c>
      <x:c r="L317" s="64" t="n">
        <x:v>153440.21</x:v>
      </x:c>
      <x:c r="M317" s="64" t="n">
        <x:v>4603.21</x:v>
      </x:c>
      <x:c r="N317" s="64" t="n">
        <x:v>148837</x:v>
      </x:c>
      <x:c r="O317" s="64" t="n">
        <x:v>1850.8</x:v>
      </x:c>
      <x:c r="P317" s="64" t="n">
        <x:v>96241.7</x:v>
      </x:c>
      <x:c r="Q317" s="64" t="n">
        <x:v>52595.3</x:v>
      </x:c>
      <x:c r="R317" s="10" t="n">
        <x:v>10</x:v>
      </x:c>
      <x:c r="S317" s="10" t="n">
        <x:v>1</x:v>
      </x:c>
      <x:c r="T317" s="10" t="n">
        <x:v>1</x:v>
      </x:c>
      <x:c r="U317" s="10" t="str">
        <x:v>Completed</x:v>
      </x:c>
      <x:c r="V317" s="10" t="n">
        <x:v>15</x:v>
      </x:c>
      <x:c r="W317" s="10" t="str">
        <x:f>XLOOKUP(F317,'产品维表'!$A$2:$A$5,'产品维表'!$D$2:$D$5,"未映射")</x:f>
        <x:v>L</x:v>
      </x:c>
      <x:c r="X317" s="10" t="str">
        <x:f>XLOOKUP(F317,'产品维表'!$A$2:$A$5,'产品维表'!$B$2:$B$5,"未映射")</x:f>
        <x:v>L1</x:v>
      </x:c>
      <x:c r="Y317" s="10" t="str">
        <x:f>XLOOKUP(G317,'渠道维表'!$A$2:$A$4,'渠道维表'!$B$2:$B$4,"未映射")</x:f>
        <x:v>线下零售</x:v>
      </x:c>
      <x:c r="Z317" s="10" t="str">
        <x:f>XLOOKUP(H317,'区域维表'!$A$2:$A$5,'区域维表'!$B$2:$B$5,"未映射")</x:f>
        <x:v>华北</x:v>
      </x:c>
      <x:c r="AA317" s="10" t="n">
        <x:f>XLOOKUP(B317,'日期维表'!$A$2:$A$43,'日期维表'!$F$2:$F$43,0)</x:f>
        <x:v>14</x:v>
      </x:c>
    </x:row>
    <x:row r="318" ht="15" hidden="0" customHeight="1">
      <x:c r="A318" s="10" t="str">
        <x:v>SO00317</x:v>
      </x:c>
      <x:c r="B318" s="10" t="n">
        <x:v>202506</x:v>
      </x:c>
      <x:c r="C318" s="10" t="n">
        <x:v>45829</x:v>
      </x:c>
      <x:c r="D318" s="10" t="n">
        <x:v>45835</x:v>
      </x:c>
      <x:c r="E318" s="10" t="n">
        <x:v>45835</x:v>
      </x:c>
      <x:c r="F318" s="10" t="n">
        <x:v>102</x:v>
      </x:c>
      <x:c r="G318" s="10" t="n">
        <x:v>3</x:v>
      </x:c>
      <x:c r="H318" s="10" t="n">
        <x:v>3</x:v>
      </x:c>
      <x:c r="I318" s="10" t="n">
        <x:v>53</x:v>
      </x:c>
      <x:c r="J318" s="10" t="n">
        <x:v>53</x:v>
      </x:c>
      <x:c r="K318" s="64" t="n">
        <x:v>2814.06</x:v>
      </x:c>
      <x:c r="L318" s="64" t="n">
        <x:v>163895.6</x:v>
      </x:c>
      <x:c r="M318" s="64" t="n">
        <x:v>14750.6</x:v>
      </x:c>
      <x:c r="N318" s="64" t="n">
        <x:v>149145</x:v>
      </x:c>
      <x:c r="O318" s="64" t="n">
        <x:v>2293.82</x:v>
      </x:c>
      <x:c r="P318" s="64" t="n">
        <x:v>121572.58</x:v>
      </x:c>
      <x:c r="Q318" s="64" t="n">
        <x:v>27572.42</x:v>
      </x:c>
      <x:c r="R318" s="10" t="n">
        <x:v>6</x:v>
      </x:c>
      <x:c r="S318" s="10" t="n">
        <x:v>1</x:v>
      </x:c>
      <x:c r="T318" s="10" t="n">
        <x:v>1</x:v>
      </x:c>
      <x:c r="U318" s="10" t="str">
        <x:v>Completed</x:v>
      </x:c>
      <x:c r="V318" s="10" t="n">
        <x:v>30</x:v>
      </x:c>
      <x:c r="W318" s="10" t="str">
        <x:f>XLOOKUP(F318,'产品维表'!$A$2:$A$5,'产品维表'!$D$2:$D$5,"未映射")</x:f>
        <x:v>L</x:v>
      </x:c>
      <x:c r="X318" s="10" t="str">
        <x:f>XLOOKUP(F318,'产品维表'!$A$2:$A$5,'产品维表'!$B$2:$B$5,"未映射")</x:f>
        <x:v>L2</x:v>
      </x:c>
      <x:c r="Y318" s="10" t="str">
        <x:f>XLOOKUP(G318,'渠道维表'!$A$2:$A$4,'渠道维表'!$B$2:$B$4,"未映射")</x:f>
        <x:v>区域经销</x:v>
      </x:c>
      <x:c r="Z318" s="10" t="str">
        <x:f>XLOOKUP(H318,'区域维表'!$A$2:$A$5,'区域维表'!$B$2:$B$5,"未映射")</x:f>
        <x:v>华北</x:v>
      </x:c>
      <x:c r="AA318" s="10" t="n">
        <x:f>XLOOKUP(B318,'日期维表'!$A$2:$A$43,'日期维表'!$F$2:$F$43,0)</x:f>
        <x:v>14</x:v>
      </x:c>
    </x:row>
    <x:row r="319" ht="15" hidden="0" customHeight="1">
      <x:c r="A319" s="10" t="str">
        <x:v>SO00318</x:v>
      </x:c>
      <x:c r="B319" s="10" t="n">
        <x:v>202506</x:v>
      </x:c>
      <x:c r="C319" s="10" t="n">
        <x:v>45821</x:v>
      </x:c>
      <x:c r="D319" s="10" t="n">
        <x:v>45827</x:v>
      </x:c>
      <x:c r="E319" s="10" t="n">
        <x:v>45827</x:v>
      </x:c>
      <x:c r="F319" s="10" t="n">
        <x:v>101</x:v>
      </x:c>
      <x:c r="G319" s="10" t="n">
        <x:v>3</x:v>
      </x:c>
      <x:c r="H319" s="10" t="n">
        <x:v>1</x:v>
      </x:c>
      <x:c r="I319" s="10" t="n">
        <x:v>44</x:v>
      </x:c>
      <x:c r="J319" s="10" t="n">
        <x:v>44</x:v>
      </x:c>
      <x:c r="K319" s="64" t="n">
        <x:v>2782.89</x:v>
      </x:c>
      <x:c r="L319" s="64" t="n">
        <x:v>134557.14</x:v>
      </x:c>
      <x:c r="M319" s="64" t="n">
        <x:v>12110.14</x:v>
      </x:c>
      <x:c r="N319" s="64" t="n">
        <x:v>122447</x:v>
      </x:c>
      <x:c r="O319" s="64" t="n">
        <x:v>1851.39</x:v>
      </x:c>
      <x:c r="P319" s="64" t="n">
        <x:v>81461.33</x:v>
      </x:c>
      <x:c r="Q319" s="64" t="n">
        <x:v>40985.67</x:v>
      </x:c>
      <x:c r="R319" s="10" t="n">
        <x:v>6</x:v>
      </x:c>
      <x:c r="S319" s="10" t="n">
        <x:v>1</x:v>
      </x:c>
      <x:c r="T319" s="10" t="n">
        <x:v>1</x:v>
      </x:c>
      <x:c r="U319" s="10" t="str">
        <x:v>Completed</x:v>
      </x:c>
      <x:c r="V319" s="10" t="n">
        <x:v>30</x:v>
      </x:c>
      <x:c r="W319" s="10" t="str">
        <x:f>XLOOKUP(F319,'产品维表'!$A$2:$A$5,'产品维表'!$D$2:$D$5,"未映射")</x:f>
        <x:v>L</x:v>
      </x:c>
      <x:c r="X319" s="10" t="str">
        <x:f>XLOOKUP(F319,'产品维表'!$A$2:$A$5,'产品维表'!$B$2:$B$5,"未映射")</x:f>
        <x:v>L1</x:v>
      </x:c>
      <x:c r="Y319" s="10" t="str">
        <x:f>XLOOKUP(G319,'渠道维表'!$A$2:$A$4,'渠道维表'!$B$2:$B$4,"未映射")</x:f>
        <x:v>区域经销</x:v>
      </x:c>
      <x:c r="Z319" s="10" t="str">
        <x:f>XLOOKUP(H319,'区域维表'!$A$2:$A$5,'区域维表'!$B$2:$B$5,"未映射")</x:f>
        <x:v>华东</x:v>
      </x:c>
      <x:c r="AA319" s="10" t="n">
        <x:f>XLOOKUP(B319,'日期维表'!$A$2:$A$43,'日期维表'!$F$2:$F$43,0)</x:f>
        <x:v>14</x:v>
      </x:c>
    </x:row>
    <x:row r="320" ht="15" hidden="0" customHeight="1">
      <x:c r="A320" s="10" t="str">
        <x:v>SO00319</x:v>
      </x:c>
      <x:c r="B320" s="10" t="n">
        <x:v>202506</x:v>
      </x:c>
      <x:c r="C320" s="10" t="n">
        <x:v>45817</x:v>
      </x:c>
      <x:c r="D320" s="10" t="n">
        <x:v>45828</x:v>
      </x:c>
      <x:c r="E320" s="10" t="n">
        <x:v>45828</x:v>
      </x:c>
      <x:c r="F320" s="10" t="n">
        <x:v>102</x:v>
      </x:c>
      <x:c r="G320" s="10" t="n">
        <x:v>3</x:v>
      </x:c>
      <x:c r="H320" s="10" t="n">
        <x:v>2</x:v>
      </x:c>
      <x:c r="I320" s="10" t="n">
        <x:v>47</x:v>
      </x:c>
      <x:c r="J320" s="10" t="n">
        <x:v>47</x:v>
      </x:c>
      <x:c r="K320" s="64" t="n">
        <x:v>2670.57</x:v>
      </x:c>
      <x:c r="L320" s="64" t="n">
        <x:v>137930.77</x:v>
      </x:c>
      <x:c r="M320" s="64" t="n">
        <x:v>12413.77</x:v>
      </x:c>
      <x:c r="N320" s="64" t="n">
        <x:v>125517</x:v>
      </x:c>
      <x:c r="O320" s="64" t="n">
        <x:v>2263.12</x:v>
      </x:c>
      <x:c r="P320" s="64" t="n">
        <x:v>106366.81</x:v>
      </x:c>
      <x:c r="Q320" s="64" t="n">
        <x:v>19150.19</x:v>
      </x:c>
      <x:c r="R320" s="10" t="n">
        <x:v>11</x:v>
      </x:c>
      <x:c r="S320" s="10" t="n">
        <x:v>1</x:v>
      </x:c>
      <x:c r="T320" s="10" t="n">
        <x:v>1</x:v>
      </x:c>
      <x:c r="U320" s="10" t="str">
        <x:v>Completed</x:v>
      </x:c>
      <x:c r="V320" s="10" t="n">
        <x:v>30</x:v>
      </x:c>
      <x:c r="W320" s="10" t="str">
        <x:f>XLOOKUP(F320,'产品维表'!$A$2:$A$5,'产品维表'!$D$2:$D$5,"未映射")</x:f>
        <x:v>L</x:v>
      </x:c>
      <x:c r="X320" s="10" t="str">
        <x:f>XLOOKUP(F320,'产品维表'!$A$2:$A$5,'产品维表'!$B$2:$B$5,"未映射")</x:f>
        <x:v>L2</x:v>
      </x:c>
      <x:c r="Y320" s="10" t="str">
        <x:f>XLOOKUP(G320,'渠道维表'!$A$2:$A$4,'渠道维表'!$B$2:$B$4,"未映射")</x:f>
        <x:v>区域经销</x:v>
      </x:c>
      <x:c r="Z320" s="10" t="str">
        <x:f>XLOOKUP(H320,'区域维表'!$A$2:$A$5,'区域维表'!$B$2:$B$5,"未映射")</x:f>
        <x:v>华南</x:v>
      </x:c>
      <x:c r="AA320" s="10" t="n">
        <x:f>XLOOKUP(B320,'日期维表'!$A$2:$A$43,'日期维表'!$F$2:$F$43,0)</x:f>
        <x:v>14</x:v>
      </x:c>
    </x:row>
    <x:row r="321" ht="15" hidden="0" customHeight="1">
      <x:c r="A321" s="10" t="str">
        <x:v>SO00320</x:v>
      </x:c>
      <x:c r="B321" s="10" t="n">
        <x:v>202506</x:v>
      </x:c>
      <x:c r="C321" s="10" t="n">
        <x:v>45831</x:v>
      </x:c>
      <x:c r="D321" s="10" t="n">
        <x:v>45837</x:v>
      </x:c>
      <x:c r="E321" s="10" t="n">
        <x:v>45837</x:v>
      </x:c>
      <x:c r="F321" s="10" t="n">
        <x:v>101</x:v>
      </x:c>
      <x:c r="G321" s="10" t="n">
        <x:v>1</x:v>
      </x:c>
      <x:c r="H321" s="10" t="n">
        <x:v>1</x:v>
      </x:c>
      <x:c r="I321" s="10" t="n">
        <x:v>38</x:v>
      </x:c>
      <x:c r="J321" s="10" t="n">
        <x:v>38</x:v>
      </x:c>
      <x:c r="K321" s="64" t="n">
        <x:v>2846.03</x:v>
      </x:c>
      <x:c r="L321" s="64" t="n">
        <x:v>108149</x:v>
      </x:c>
      <x:c r="M321" s="64" t="n">
        <x:v>0</x:v>
      </x:c>
      <x:c r="N321" s="64" t="n">
        <x:v>108149</x:v>
      </x:c>
      <x:c r="O321" s="64" t="n">
        <x:v>1839.81</x:v>
      </x:c>
      <x:c r="P321" s="64" t="n">
        <x:v>69912.9</x:v>
      </x:c>
      <x:c r="Q321" s="64" t="n">
        <x:v>38236.1</x:v>
      </x:c>
      <x:c r="R321" s="10" t="n">
        <x:v>6</x:v>
      </x:c>
      <x:c r="S321" s="10" t="n">
        <x:v>1</x:v>
      </x:c>
      <x:c r="T321" s="10" t="n">
        <x:v>1</x:v>
      </x:c>
      <x:c r="U321" s="10" t="str">
        <x:v>Completed</x:v>
      </x:c>
      <x:c r="V321" s="10" t="n">
        <x:v>0</x:v>
      </x:c>
      <x:c r="W321" s="10" t="str">
        <x:f>XLOOKUP(F321,'产品维表'!$A$2:$A$5,'产品维表'!$D$2:$D$5,"未映射")</x:f>
        <x:v>L</x:v>
      </x:c>
      <x:c r="X321" s="10" t="str">
        <x:f>XLOOKUP(F321,'产品维表'!$A$2:$A$5,'产品维表'!$B$2:$B$5,"未映射")</x:f>
        <x:v>L1</x:v>
      </x:c>
      <x:c r="Y321" s="10" t="str">
        <x:f>XLOOKUP(G321,'渠道维表'!$A$2:$A$4,'渠道维表'!$B$2:$B$4,"未映射")</x:f>
        <x:v>线上直营</x:v>
      </x:c>
      <x:c r="Z321" s="10" t="str">
        <x:f>XLOOKUP(H321,'区域维表'!$A$2:$A$5,'区域维表'!$B$2:$B$5,"未映射")</x:f>
        <x:v>华东</x:v>
      </x:c>
      <x:c r="AA321" s="10" t="n">
        <x:f>XLOOKUP(B321,'日期维表'!$A$2:$A$43,'日期维表'!$F$2:$F$43,0)</x:f>
        <x:v>14</x:v>
      </x:c>
    </x:row>
    <x:row r="322" ht="15" hidden="0" customHeight="1">
      <x:c r="A322" s="10" t="str">
        <x:v>SO00321</x:v>
      </x:c>
      <x:c r="B322" s="10" t="n">
        <x:v>202506</x:v>
      </x:c>
      <x:c r="C322" s="10" t="n">
        <x:v>45824</x:v>
      </x:c>
      <x:c r="D322" s="10" t="n">
        <x:v>45835</x:v>
      </x:c>
      <x:c r="E322" s="10" t="n">
        <x:v>45835</x:v>
      </x:c>
      <x:c r="F322" s="10" t="n">
        <x:v>101</x:v>
      </x:c>
      <x:c r="G322" s="10" t="n">
        <x:v>1</x:v>
      </x:c>
      <x:c r="H322" s="10" t="n">
        <x:v>3</x:v>
      </x:c>
      <x:c r="I322" s="10" t="n">
        <x:v>37</x:v>
      </x:c>
      <x:c r="J322" s="10" t="n">
        <x:v>37</x:v>
      </x:c>
      <x:c r="K322" s="64" t="n">
        <x:v>2656.86</x:v>
      </x:c>
      <x:c r="L322" s="64" t="n">
        <x:v>98304</x:v>
      </x:c>
      <x:c r="M322" s="64" t="n">
        <x:v>0</x:v>
      </x:c>
      <x:c r="N322" s="64" t="n">
        <x:v>98304</x:v>
      </x:c>
      <x:c r="O322" s="64" t="n">
        <x:v>1859.68</x:v>
      </x:c>
      <x:c r="P322" s="64" t="n">
        <x:v>68808.05</x:v>
      </x:c>
      <x:c r="Q322" s="64" t="n">
        <x:v>29495.95</x:v>
      </x:c>
      <x:c r="R322" s="10" t="n">
        <x:v>11</x:v>
      </x:c>
      <x:c r="S322" s="10" t="n">
        <x:v>1</x:v>
      </x:c>
      <x:c r="T322" s="10" t="n">
        <x:v>1</x:v>
      </x:c>
      <x:c r="U322" s="10" t="str">
        <x:v>Completed</x:v>
      </x:c>
      <x:c r="V322" s="10" t="n">
        <x:v>0</x:v>
      </x:c>
      <x:c r="W322" s="10" t="str">
        <x:f>XLOOKUP(F322,'产品维表'!$A$2:$A$5,'产品维表'!$D$2:$D$5,"未映射")</x:f>
        <x:v>L</x:v>
      </x:c>
      <x:c r="X322" s="10" t="str">
        <x:f>XLOOKUP(F322,'产品维表'!$A$2:$A$5,'产品维表'!$B$2:$B$5,"未映射")</x:f>
        <x:v>L1</x:v>
      </x:c>
      <x:c r="Y322" s="10" t="str">
        <x:f>XLOOKUP(G322,'渠道维表'!$A$2:$A$4,'渠道维表'!$B$2:$B$4,"未映射")</x:f>
        <x:v>线上直营</x:v>
      </x:c>
      <x:c r="Z322" s="10" t="str">
        <x:f>XLOOKUP(H322,'区域维表'!$A$2:$A$5,'区域维表'!$B$2:$B$5,"未映射")</x:f>
        <x:v>华北</x:v>
      </x:c>
      <x:c r="AA322" s="10" t="n">
        <x:f>XLOOKUP(B322,'日期维表'!$A$2:$A$43,'日期维表'!$F$2:$F$43,0)</x:f>
        <x:v>14</x:v>
      </x:c>
    </x:row>
    <x:row r="323" ht="15" hidden="0" customHeight="1">
      <x:c r="A323" s="10" t="str">
        <x:v>SO00322</x:v>
      </x:c>
      <x:c r="B323" s="10" t="n">
        <x:v>202506</x:v>
      </x:c>
      <x:c r="C323" s="10" t="n">
        <x:v>45826</x:v>
      </x:c>
      <x:c r="D323" s="10" t="n">
        <x:v>45832</x:v>
      </x:c>
      <x:c r="E323" s="10" t="n">
        <x:v>45832</x:v>
      </x:c>
      <x:c r="F323" s="10" t="n">
        <x:v>101</x:v>
      </x:c>
      <x:c r="G323" s="10" t="n">
        <x:v>1</x:v>
      </x:c>
      <x:c r="H323" s="10" t="n">
        <x:v>3</x:v>
      </x:c>
      <x:c r="I323" s="10" t="n">
        <x:v>56</x:v>
      </x:c>
      <x:c r="J323" s="10" t="n">
        <x:v>56</x:v>
      </x:c>
      <x:c r="K323" s="64" t="n">
        <x:v>2651.79</x:v>
      </x:c>
      <x:c r="L323" s="64" t="n">
        <x:v>148500</x:v>
      </x:c>
      <x:c r="M323" s="64" t="n">
        <x:v>0</x:v>
      </x:c>
      <x:c r="N323" s="64" t="n">
        <x:v>148500</x:v>
      </x:c>
      <x:c r="O323" s="64" t="n">
        <x:v>1863.82</x:v>
      </x:c>
      <x:c r="P323" s="64" t="n">
        <x:v>104373.67</x:v>
      </x:c>
      <x:c r="Q323" s="64" t="n">
        <x:v>44126.33</x:v>
      </x:c>
      <x:c r="R323" s="10" t="n">
        <x:v>6</x:v>
      </x:c>
      <x:c r="S323" s="10" t="n">
        <x:v>1</x:v>
      </x:c>
      <x:c r="T323" s="10" t="n">
        <x:v>1</x:v>
      </x:c>
      <x:c r="U323" s="10" t="str">
        <x:v>Completed</x:v>
      </x:c>
      <x:c r="V323" s="10" t="n">
        <x:v>0</x:v>
      </x:c>
      <x:c r="W323" s="10" t="str">
        <x:f>XLOOKUP(F323,'产品维表'!$A$2:$A$5,'产品维表'!$D$2:$D$5,"未映射")</x:f>
        <x:v>L</x:v>
      </x:c>
      <x:c r="X323" s="10" t="str">
        <x:f>XLOOKUP(F323,'产品维表'!$A$2:$A$5,'产品维表'!$B$2:$B$5,"未映射")</x:f>
        <x:v>L1</x:v>
      </x:c>
      <x:c r="Y323" s="10" t="str">
        <x:f>XLOOKUP(G323,'渠道维表'!$A$2:$A$4,'渠道维表'!$B$2:$B$4,"未映射")</x:f>
        <x:v>线上直营</x:v>
      </x:c>
      <x:c r="Z323" s="10" t="str">
        <x:f>XLOOKUP(H323,'区域维表'!$A$2:$A$5,'区域维表'!$B$2:$B$5,"未映射")</x:f>
        <x:v>华北</x:v>
      </x:c>
      <x:c r="AA323" s="10" t="n">
        <x:f>XLOOKUP(B323,'日期维表'!$A$2:$A$43,'日期维表'!$F$2:$F$43,0)</x:f>
        <x:v>14</x:v>
      </x:c>
    </x:row>
    <x:row r="324" ht="15" hidden="0" customHeight="1">
      <x:c r="A324" s="10" t="str">
        <x:v>SO00323</x:v>
      </x:c>
      <x:c r="B324" s="10" t="n">
        <x:v>202506</x:v>
      </x:c>
      <x:c r="C324" s="10" t="n">
        <x:v>45832</x:v>
      </x:c>
      <x:c r="D324" s="10" t="n">
        <x:v>45838</x:v>
      </x:c>
      <x:c r="E324" s="10" t="n">
        <x:v>45838</x:v>
      </x:c>
      <x:c r="F324" s="10" t="n">
        <x:v>101</x:v>
      </x:c>
      <x:c r="G324" s="10" t="n">
        <x:v>1</x:v>
      </x:c>
      <x:c r="H324" s="10" t="n">
        <x:v>3</x:v>
      </x:c>
      <x:c r="I324" s="10" t="n">
        <x:v>38</x:v>
      </x:c>
      <x:c r="J324" s="10" t="n">
        <x:v>38</x:v>
      </x:c>
      <x:c r="K324" s="64" t="n">
        <x:v>2837.13</x:v>
      </x:c>
      <x:c r="L324" s="64" t="n">
        <x:v>107811</x:v>
      </x:c>
      <x:c r="M324" s="64" t="n">
        <x:v>0</x:v>
      </x:c>
      <x:c r="N324" s="64" t="n">
        <x:v>107811</x:v>
      </x:c>
      <x:c r="O324" s="64" t="n">
        <x:v>1829.58</x:v>
      </x:c>
      <x:c r="P324" s="64" t="n">
        <x:v>69523.88</x:v>
      </x:c>
      <x:c r="Q324" s="64" t="n">
        <x:v>38287.12</x:v>
      </x:c>
      <x:c r="R324" s="10" t="n">
        <x:v>6</x:v>
      </x:c>
      <x:c r="S324" s="10" t="n">
        <x:v>1</x:v>
      </x:c>
      <x:c r="T324" s="10" t="n">
        <x:v>1</x:v>
      </x:c>
      <x:c r="U324" s="10" t="str">
        <x:v>Completed</x:v>
      </x:c>
      <x:c r="V324" s="10" t="n">
        <x:v>0</x:v>
      </x:c>
      <x:c r="W324" s="10" t="str">
        <x:f>XLOOKUP(F324,'产品维表'!$A$2:$A$5,'产品维表'!$D$2:$D$5,"未映射")</x:f>
        <x:v>L</x:v>
      </x:c>
      <x:c r="X324" s="10" t="str">
        <x:f>XLOOKUP(F324,'产品维表'!$A$2:$A$5,'产品维表'!$B$2:$B$5,"未映射")</x:f>
        <x:v>L1</x:v>
      </x:c>
      <x:c r="Y324" s="10" t="str">
        <x:f>XLOOKUP(G324,'渠道维表'!$A$2:$A$4,'渠道维表'!$B$2:$B$4,"未映射")</x:f>
        <x:v>线上直营</x:v>
      </x:c>
      <x:c r="Z324" s="10" t="str">
        <x:f>XLOOKUP(H324,'区域维表'!$A$2:$A$5,'区域维表'!$B$2:$B$5,"未映射")</x:f>
        <x:v>华北</x:v>
      </x:c>
      <x:c r="AA324" s="10" t="n">
        <x:f>XLOOKUP(B324,'日期维表'!$A$2:$A$43,'日期维表'!$F$2:$F$43,0)</x:f>
        <x:v>14</x:v>
      </x:c>
    </x:row>
    <x:row r="325" ht="15" hidden="0" customHeight="1">
      <x:c r="A325" s="10" t="str">
        <x:v>SO00324</x:v>
      </x:c>
      <x:c r="B325" s="10" t="n">
        <x:v>202506</x:v>
      </x:c>
      <x:c r="C325" s="10" t="n">
        <x:v>45818</x:v>
      </x:c>
      <x:c r="D325" s="10" t="n">
        <x:v>45830</x:v>
      </x:c>
      <x:c r="E325" s="10" t="n">
        <x:v>45830</x:v>
      </x:c>
      <x:c r="F325" s="10" t="n">
        <x:v>101</x:v>
      </x:c>
      <x:c r="G325" s="10" t="n">
        <x:v>3</x:v>
      </x:c>
      <x:c r="H325" s="10" t="n">
        <x:v>1</x:v>
      </x:c>
      <x:c r="I325" s="10" t="n">
        <x:v>29</x:v>
      </x:c>
      <x:c r="J325" s="10" t="n">
        <x:v>29</x:v>
      </x:c>
      <x:c r="K325" s="64" t="n">
        <x:v>2908.69</x:v>
      </x:c>
      <x:c r="L325" s="64" t="n">
        <x:v>92694.51</x:v>
      </x:c>
      <x:c r="M325" s="64" t="n">
        <x:v>8342.51</x:v>
      </x:c>
      <x:c r="N325" s="64" t="n">
        <x:v>84352</x:v>
      </x:c>
      <x:c r="O325" s="64" t="n">
        <x:v>1817.11</x:v>
      </x:c>
      <x:c r="P325" s="64" t="n">
        <x:v>52696.27</x:v>
      </x:c>
      <x:c r="Q325" s="64" t="n">
        <x:v>31655.73</x:v>
      </x:c>
      <x:c r="R325" s="10" t="n">
        <x:v>12</x:v>
      </x:c>
      <x:c r="S325" s="10" t="n">
        <x:v>1</x:v>
      </x:c>
      <x:c r="T325" s="10" t="n">
        <x:v>1</x:v>
      </x:c>
      <x:c r="U325" s="10" t="str">
        <x:v>Completed</x:v>
      </x:c>
      <x:c r="V325" s="10" t="n">
        <x:v>30</x:v>
      </x:c>
      <x:c r="W325" s="10" t="str">
        <x:f>XLOOKUP(F325,'产品维表'!$A$2:$A$5,'产品维表'!$D$2:$D$5,"未映射")</x:f>
        <x:v>L</x:v>
      </x:c>
      <x:c r="X325" s="10" t="str">
        <x:f>XLOOKUP(F325,'产品维表'!$A$2:$A$5,'产品维表'!$B$2:$B$5,"未映射")</x:f>
        <x:v>L1</x:v>
      </x:c>
      <x:c r="Y325" s="10" t="str">
        <x:f>XLOOKUP(G325,'渠道维表'!$A$2:$A$4,'渠道维表'!$B$2:$B$4,"未映射")</x:f>
        <x:v>区域经销</x:v>
      </x:c>
      <x:c r="Z325" s="10" t="str">
        <x:f>XLOOKUP(H325,'区域维表'!$A$2:$A$5,'区域维表'!$B$2:$B$5,"未映射")</x:f>
        <x:v>华东</x:v>
      </x:c>
      <x:c r="AA325" s="10" t="n">
        <x:f>XLOOKUP(B325,'日期维表'!$A$2:$A$43,'日期维表'!$F$2:$F$43,0)</x:f>
        <x:v>14</x:v>
      </x:c>
    </x:row>
    <x:row r="326" ht="15" hidden="0" customHeight="1">
      <x:c r="A326" s="10" t="str">
        <x:v>SO00325</x:v>
      </x:c>
      <x:c r="B326" s="10" t="n">
        <x:v>202506</x:v>
      </x:c>
      <x:c r="C326" s="10" t="n">
        <x:v>45819</x:v>
      </x:c>
      <x:c r="D326" s="10" t="n">
        <x:v>45829</x:v>
      </x:c>
      <x:c r="E326" s="10" t="n">
        <x:v>45829</x:v>
      </x:c>
      <x:c r="F326" s="10" t="n">
        <x:v>102</x:v>
      </x:c>
      <x:c r="G326" s="10" t="n">
        <x:v>1</x:v>
      </x:c>
      <x:c r="H326" s="10" t="n">
        <x:v>3</x:v>
      </x:c>
      <x:c r="I326" s="10" t="n">
        <x:v>43</x:v>
      </x:c>
      <x:c r="J326" s="10" t="n">
        <x:v>43</x:v>
      </x:c>
      <x:c r="K326" s="64" t="n">
        <x:v>2684.58</x:v>
      </x:c>
      <x:c r="L326" s="64" t="n">
        <x:v>115437</x:v>
      </x:c>
      <x:c r="M326" s="64" t="n">
        <x:v>0</x:v>
      </x:c>
      <x:c r="N326" s="64" t="n">
        <x:v>115437</x:v>
      </x:c>
      <x:c r="O326" s="64" t="n">
        <x:v>2197.98</x:v>
      </x:c>
      <x:c r="P326" s="64" t="n">
        <x:v>94513.24</x:v>
      </x:c>
      <x:c r="Q326" s="64" t="n">
        <x:v>20923.76</x:v>
      </x:c>
      <x:c r="R326" s="10" t="n">
        <x:v>10</x:v>
      </x:c>
      <x:c r="S326" s="10" t="n">
        <x:v>1</x:v>
      </x:c>
      <x:c r="T326" s="10" t="n">
        <x:v>1</x:v>
      </x:c>
      <x:c r="U326" s="10" t="str">
        <x:v>Completed</x:v>
      </x:c>
      <x:c r="V326" s="10" t="n">
        <x:v>0</x:v>
      </x:c>
      <x:c r="W326" s="10" t="str">
        <x:f>XLOOKUP(F326,'产品维表'!$A$2:$A$5,'产品维表'!$D$2:$D$5,"未映射")</x:f>
        <x:v>L</x:v>
      </x:c>
      <x:c r="X326" s="10" t="str">
        <x:f>XLOOKUP(F326,'产品维表'!$A$2:$A$5,'产品维表'!$B$2:$B$5,"未映射")</x:f>
        <x:v>L2</x:v>
      </x:c>
      <x:c r="Y326" s="10" t="str">
        <x:f>XLOOKUP(G326,'渠道维表'!$A$2:$A$4,'渠道维表'!$B$2:$B$4,"未映射")</x:f>
        <x:v>线上直营</x:v>
      </x:c>
      <x:c r="Z326" s="10" t="str">
        <x:f>XLOOKUP(H326,'区域维表'!$A$2:$A$5,'区域维表'!$B$2:$B$5,"未映射")</x:f>
        <x:v>华北</x:v>
      </x:c>
      <x:c r="AA326" s="10" t="n">
        <x:f>XLOOKUP(B326,'日期维表'!$A$2:$A$43,'日期维表'!$F$2:$F$43,0)</x:f>
        <x:v>14</x:v>
      </x:c>
    </x:row>
    <x:row r="327" ht="15" hidden="0" customHeight="1">
      <x:c r="A327" s="10" t="str">
        <x:v>SO00326</x:v>
      </x:c>
      <x:c r="B327" s="10" t="n">
        <x:v>202506</x:v>
      </x:c>
      <x:c r="C327" s="10" t="n">
        <x:v>45812</x:v>
      </x:c>
      <x:c r="D327" s="10" t="n">
        <x:v>45819</x:v>
      </x:c>
      <x:c r="E327" s="10" t="n">
        <x:v>45819</x:v>
      </x:c>
      <x:c r="F327" s="10" t="n">
        <x:v>102</x:v>
      </x:c>
      <x:c r="G327" s="10" t="n">
        <x:v>2</x:v>
      </x:c>
      <x:c r="H327" s="10" t="n">
        <x:v>1</x:v>
      </x:c>
      <x:c r="I327" s="10" t="n">
        <x:v>32</x:v>
      </x:c>
      <x:c r="J327" s="10" t="n">
        <x:v>32</x:v>
      </x:c>
      <x:c r="K327" s="64" t="n">
        <x:v>2645.59</x:v>
      </x:c>
      <x:c r="L327" s="64" t="n">
        <x:v>87277.32</x:v>
      </x:c>
      <x:c r="M327" s="64" t="n">
        <x:v>2618.32</x:v>
      </x:c>
      <x:c r="N327" s="64" t="n">
        <x:v>84659</x:v>
      </x:c>
      <x:c r="O327" s="64" t="n">
        <x:v>2207.05</x:v>
      </x:c>
      <x:c r="P327" s="64" t="n">
        <x:v>70625.56</x:v>
      </x:c>
      <x:c r="Q327" s="64" t="n">
        <x:v>14033.44</x:v>
      </x:c>
      <x:c r="R327" s="10" t="n">
        <x:v>7</x:v>
      </x:c>
      <x:c r="S327" s="10" t="n">
        <x:v>1</x:v>
      </x:c>
      <x:c r="T327" s="10" t="n">
        <x:v>1</x:v>
      </x:c>
      <x:c r="U327" s="10" t="str">
        <x:v>Completed</x:v>
      </x:c>
      <x:c r="V327" s="10" t="n">
        <x:v>15</x:v>
      </x:c>
      <x:c r="W327" s="10" t="str">
        <x:f>XLOOKUP(F327,'产品维表'!$A$2:$A$5,'产品维表'!$D$2:$D$5,"未映射")</x:f>
        <x:v>L</x:v>
      </x:c>
      <x:c r="X327" s="10" t="str">
        <x:f>XLOOKUP(F327,'产品维表'!$A$2:$A$5,'产品维表'!$B$2:$B$5,"未映射")</x:f>
        <x:v>L2</x:v>
      </x:c>
      <x:c r="Y327" s="10" t="str">
        <x:f>XLOOKUP(G327,'渠道维表'!$A$2:$A$4,'渠道维表'!$B$2:$B$4,"未映射")</x:f>
        <x:v>线下零售</x:v>
      </x:c>
      <x:c r="Z327" s="10" t="str">
        <x:f>XLOOKUP(H327,'区域维表'!$A$2:$A$5,'区域维表'!$B$2:$B$5,"未映射")</x:f>
        <x:v>华东</x:v>
      </x:c>
      <x:c r="AA327" s="10" t="n">
        <x:f>XLOOKUP(B327,'日期维表'!$A$2:$A$43,'日期维表'!$F$2:$F$43,0)</x:f>
        <x:v>14</x:v>
      </x:c>
    </x:row>
    <x:row r="328" ht="15" hidden="0" customHeight="1">
      <x:c r="A328" s="10" t="str">
        <x:v>SO00327</x:v>
      </x:c>
      <x:c r="B328" s="10" t="n">
        <x:v>202506</x:v>
      </x:c>
      <x:c r="C328" s="10" t="n">
        <x:v>45823</x:v>
      </x:c>
      <x:c r="D328" s="10" t="n">
        <x:v>45833</x:v>
      </x:c>
      <x:c r="E328" s="10" t="n">
        <x:v>45833</x:v>
      </x:c>
      <x:c r="F328" s="10" t="n">
        <x:v>102</x:v>
      </x:c>
      <x:c r="G328" s="10" t="n">
        <x:v>3</x:v>
      </x:c>
      <x:c r="H328" s="10" t="n">
        <x:v>1</x:v>
      </x:c>
      <x:c r="I328" s="10" t="n">
        <x:v>24</x:v>
      </x:c>
      <x:c r="J328" s="10" t="n">
        <x:v>24</x:v>
      </x:c>
      <x:c r="K328" s="64" t="n">
        <x:v>2637</x:v>
      </x:c>
      <x:c r="L328" s="64" t="n">
        <x:v>69547.25</x:v>
      </x:c>
      <x:c r="M328" s="64" t="n">
        <x:v>6259.25</x:v>
      </x:c>
      <x:c r="N328" s="64" t="n">
        <x:v>63288</x:v>
      </x:c>
      <x:c r="O328" s="64" t="n">
        <x:v>1879.29</x:v>
      </x:c>
      <x:c r="P328" s="64" t="n">
        <x:v>45103</x:v>
      </x:c>
      <x:c r="Q328" s="64" t="n">
        <x:v>18185</x:v>
      </x:c>
      <x:c r="R328" s="10" t="n">
        <x:v>10</x:v>
      </x:c>
      <x:c r="S328" s="10" t="n">
        <x:v>1</x:v>
      </x:c>
      <x:c r="T328" s="10" t="n">
        <x:v>1</x:v>
      </x:c>
      <x:c r="U328" s="10" t="str">
        <x:v>Completed</x:v>
      </x:c>
      <x:c r="V328" s="10" t="n">
        <x:v>30</x:v>
      </x:c>
      <x:c r="W328" s="10" t="str">
        <x:f>XLOOKUP(F328,'产品维表'!$A$2:$A$5,'产品维表'!$D$2:$D$5,"未映射")</x:f>
        <x:v>L</x:v>
      </x:c>
      <x:c r="X328" s="10" t="str">
        <x:f>XLOOKUP(F328,'产品维表'!$A$2:$A$5,'产品维表'!$B$2:$B$5,"未映射")</x:f>
        <x:v>L2</x:v>
      </x:c>
      <x:c r="Y328" s="10" t="str">
        <x:f>XLOOKUP(G328,'渠道维表'!$A$2:$A$4,'渠道维表'!$B$2:$B$4,"未映射")</x:f>
        <x:v>区域经销</x:v>
      </x:c>
      <x:c r="Z328" s="10" t="str">
        <x:f>XLOOKUP(H328,'区域维表'!$A$2:$A$5,'区域维表'!$B$2:$B$5,"未映射")</x:f>
        <x:v>华东</x:v>
      </x:c>
      <x:c r="AA328" s="10" t="n">
        <x:f>XLOOKUP(B328,'日期维表'!$A$2:$A$43,'日期维表'!$F$2:$F$43,0)</x:f>
        <x:v>14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9.130000114440918" hidden="0" customWidth="1"/>
    <x:col min="3" max="3" width="17.8799991607666" hidden="0" customWidth="1"/>
    <x:col min="4" max="4" width="17.6299991607666" hidden="0" customWidth="1"/>
    <x:col min="5" max="5" width="9.380000114440918" hidden="0" customWidth="1"/>
    <x:col min="6" max="6" width="9.130000114440918" hidden="0" customWidth="1"/>
    <x:col min="7" max="7" width="15.880000114440918" hidden="0" customWidth="1"/>
    <x:col min="8" max="8" width="9.630000114440918" hidden="0" customWidth="1"/>
    <x:col min="9" max="9" width="11.75" hidden="0" customWidth="1"/>
    <x:col min="10" max="10" width="17.8799991607666" hidden="0" customWidth="1"/>
    <x:col min="11" max="11" width="11.380000114440918" hidden="0" customWidth="1"/>
    <x:col min="12" max="12" width="12.130000114440918" hidden="0" customWidth="1"/>
  </x:cols>
  <x:sheetData>
    <x:row r="1" ht="24" hidden="0" customHeight="1">
      <x:c r="A1" s="7" t="str">
        <x:v>month_key</x:v>
      </x:c>
      <x:c r="B1" s="7" t="str">
        <x:v>product_key</x:v>
      </x:c>
      <x:c r="C1" s="7" t="str">
        <x:v>beginning_inventory_qty</x:v>
      </x:c>
      <x:c r="D1" s="7" t="str">
        <x:v>production_receipts_qty</x:v>
      </x:c>
      <x:c r="E1" s="7" t="str">
        <x:v>demand_qty</x:v>
      </x:c>
      <x:c r="F1" s="7" t="str">
        <x:v>shipped_qty</x:v>
      </x:c>
      <x:c r="G1" s="7" t="str">
        <x:v>ending_inventory_qty</x:v>
      </x:c>
      <x:c r="H1" s="7" t="str">
        <x:v>stockout_qty</x:v>
      </x:c>
      <x:c r="I1" s="7" t="str">
        <x:v>inventory_value</x:v>
      </x:c>
      <x:c r="J1" s="7" t="str">
        <x:v>warehouse_capacity_qty</x:v>
      </x:c>
      <x:c r="K1" s="7" t="str">
        <x:v>days_of_supply</x:v>
      </x:c>
      <x:c r="L1" s="7" t="str">
        <x:v>inventory_status</x:v>
      </x:c>
      <x:c r="M1" s="6" t="str">
        <x:v>quarter_seq</x:v>
      </x:c>
      <x:c r="N1" s="6" t="str">
        <x:v>sku</x:v>
      </x:c>
      <x:c r="O1" s="6" t="str">
        <x:v>balance_diff</x:v>
      </x:c>
    </x:row>
    <x:row r="2" ht="15" hidden="0" customHeight="1">
      <x:c r="A2" s="10" t="n">
        <x:v>202201</x:v>
      </x:c>
      <x:c r="B2" s="10" t="n">
        <x:v>101</x:v>
      </x:c>
      <x:c r="C2" s="10" t="n">
        <x:v>0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0" t="n">
        <x:v>0</x:v>
      </x:c>
      <x:c r="J2" s="10" t="n">
        <x:v>176</x:v>
      </x:c>
      <x:c r="K2" s="10" t="n">
        <x:v>0</x:v>
      </x:c>
      <x:c r="L2" s="10" t="str">
        <x:v>健康</x:v>
      </x:c>
      <x:c r="M2" s="10" t="n">
        <x:f>XLOOKUP(A2,'日期维表'!$A$2:$A$43,'日期维表'!$F$2:$F$43,0)</x:f>
        <x:v>1</x:v>
      </x:c>
      <x:c r="N2" s="10" t="str">
        <x:f>XLOOKUP(B2,'产品维表'!$A$2:$A$5,'产品维表'!$B$2:$B$5,"未映射")</x:f>
        <x:v>L1</x:v>
      </x:c>
      <x:c r="O2" s="10" t="n">
        <x:f>C2+D2-F2-G2</x:f>
        <x:v>0</x:v>
      </x:c>
    </x:row>
    <x:row r="3" ht="15" hidden="0" customHeight="1">
      <x:c r="A3" s="10" t="n">
        <x:v>202201</x:v>
      </x:c>
      <x:c r="B3" s="10" t="n">
        <x:v>102</x:v>
      </x:c>
      <x:c r="C3" s="10" t="n">
        <x:v>0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  <x:c r="I3" s="10" t="n">
        <x:v>0</x:v>
      </x:c>
      <x:c r="J3" s="10" t="n">
        <x:v>145</x:v>
      </x:c>
      <x:c r="K3" s="10" t="n">
        <x:v>0</x:v>
      </x:c>
      <x:c r="L3" s="10" t="str">
        <x:v>健康</x:v>
      </x:c>
      <x:c r="M3" s="10" t="n">
        <x:f>XLOOKUP(A3,'日期维表'!$A$2:$A$43,'日期维表'!$F$2:$F$43,0)</x:f>
        <x:v>1</x:v>
      </x:c>
      <x:c r="N3" s="10" t="str">
        <x:f>XLOOKUP(B3,'产品维表'!$A$2:$A$5,'产品维表'!$B$2:$B$5,"未映射")</x:f>
        <x:v>L2</x:v>
      </x:c>
      <x:c r="O3" s="10" t="n">
        <x:f>C3+D3-F3-G3</x:f>
        <x:v>0</x:v>
      </x:c>
    </x:row>
    <x:row r="4" ht="15" hidden="0" customHeight="1">
      <x:c r="A4" s="10" t="n">
        <x:v>202201</x:v>
      </x:c>
      <x:c r="B4" s="10" t="n">
        <x:v>201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I4" s="10" t="n">
        <x:v>0</x:v>
      </x:c>
      <x:c r="J4" s="10" t="n">
        <x:v>115</x:v>
      </x:c>
      <x:c r="K4" s="10" t="n">
        <x:v>0</x:v>
      </x:c>
      <x:c r="L4" s="10" t="str">
        <x:v>健康</x:v>
      </x:c>
      <x:c r="M4" s="10" t="n">
        <x:f>XLOOKUP(A4,'日期维表'!$A$2:$A$43,'日期维表'!$F$2:$F$43,0)</x:f>
        <x:v>1</x:v>
      </x:c>
      <x:c r="N4" s="10" t="str">
        <x:f>XLOOKUP(B4,'产品维表'!$A$2:$A$5,'产品维表'!$B$2:$B$5,"未映射")</x:f>
        <x:v>H1</x:v>
      </x:c>
      <x:c r="O4" s="10" t="n">
        <x:f>C4+D4-F4-G4</x:f>
        <x:v>0</x:v>
      </x:c>
    </x:row>
    <x:row r="5" ht="15" hidden="0" customHeight="1">
      <x:c r="A5" s="10" t="n">
        <x:v>202201</x:v>
      </x:c>
      <x:c r="B5" s="10" t="n">
        <x:v>202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84</x:v>
      </x:c>
      <x:c r="K5" s="10" t="n">
        <x:v>0</x:v>
      </x:c>
      <x:c r="L5" s="10" t="str">
        <x:v>健康</x:v>
      </x:c>
      <x:c r="M5" s="10" t="n">
        <x:f>XLOOKUP(A5,'日期维表'!$A$2:$A$43,'日期维表'!$F$2:$F$43,0)</x:f>
        <x:v>1</x:v>
      </x:c>
      <x:c r="N5" s="10" t="str">
        <x:f>XLOOKUP(B5,'产品维表'!$A$2:$A$5,'产品维表'!$B$2:$B$5,"未映射")</x:f>
        <x:v>H2</x:v>
      </x:c>
      <x:c r="O5" s="10" t="n">
        <x:f>C5+D5-F5-G5</x:f>
        <x:v>0</x:v>
      </x:c>
    </x:row>
    <x:row r="6" ht="15" hidden="0" customHeight="1">
      <x:c r="A6" s="10" t="n">
        <x:v>202202</x:v>
      </x:c>
      <x:c r="B6" s="10" t="n">
        <x:v>101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176</x:v>
      </x:c>
      <x:c r="K6" s="10" t="n">
        <x:v>0</x:v>
      </x:c>
      <x:c r="L6" s="10" t="str">
        <x:v>健康</x:v>
      </x:c>
      <x:c r="M6" s="10" t="n">
        <x:f>XLOOKUP(A6,'日期维表'!$A$2:$A$43,'日期维表'!$F$2:$F$43,0)</x:f>
        <x:v>1</x:v>
      </x:c>
      <x:c r="N6" s="10" t="str">
        <x:f>XLOOKUP(B6,'产品维表'!$A$2:$A$5,'产品维表'!$B$2:$B$5,"未映射")</x:f>
        <x:v>L1</x:v>
      </x:c>
      <x:c r="O6" s="10" t="n">
        <x:f>C6+D6-F6-G6</x:f>
        <x:v>0</x:v>
      </x:c>
    </x:row>
    <x:row r="7" ht="15" hidden="0" customHeight="1">
      <x:c r="A7" s="10" t="n">
        <x:v>202202</x:v>
      </x:c>
      <x:c r="B7" s="10" t="n">
        <x:v>102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145</x:v>
      </x:c>
      <x:c r="K7" s="10" t="n">
        <x:v>0</x:v>
      </x:c>
      <x:c r="L7" s="10" t="str">
        <x:v>健康</x:v>
      </x:c>
      <x:c r="M7" s="10" t="n">
        <x:f>XLOOKUP(A7,'日期维表'!$A$2:$A$43,'日期维表'!$F$2:$F$43,0)</x:f>
        <x:v>1</x:v>
      </x:c>
      <x:c r="N7" s="10" t="str">
        <x:f>XLOOKUP(B7,'产品维表'!$A$2:$A$5,'产品维表'!$B$2:$B$5,"未映射")</x:f>
        <x:v>L2</x:v>
      </x:c>
      <x:c r="O7" s="10" t="n">
        <x:f>C7+D7-F7-G7</x:f>
        <x:v>0</x:v>
      </x:c>
    </x:row>
    <x:row r="8" ht="15" hidden="0" customHeight="1">
      <x:c r="A8" s="10" t="n">
        <x:v>202202</x:v>
      </x:c>
      <x:c r="B8" s="10" t="n">
        <x:v>201</x:v>
      </x:c>
      <x:c r="C8" s="10" t="n">
        <x:v>0</x:v>
      </x:c>
      <x:c r="D8" s="10" t="n">
        <x:v>0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115</x:v>
      </x:c>
      <x:c r="K8" s="10" t="n">
        <x:v>0</x:v>
      </x:c>
      <x:c r="L8" s="10" t="str">
        <x:v>健康</x:v>
      </x:c>
      <x:c r="M8" s="10" t="n">
        <x:f>XLOOKUP(A8,'日期维表'!$A$2:$A$43,'日期维表'!$F$2:$F$43,0)</x:f>
        <x:v>1</x:v>
      </x:c>
      <x:c r="N8" s="10" t="str">
        <x:f>XLOOKUP(B8,'产品维表'!$A$2:$A$5,'产品维表'!$B$2:$B$5,"未映射")</x:f>
        <x:v>H1</x:v>
      </x:c>
      <x:c r="O8" s="10" t="n">
        <x:f>C8+D8-F8-G8</x:f>
        <x:v>0</x:v>
      </x:c>
    </x:row>
    <x:row r="9" ht="15" hidden="0" customHeight="1">
      <x:c r="A9" s="10" t="n">
        <x:v>202202</x:v>
      </x:c>
      <x:c r="B9" s="10" t="n">
        <x:v>202</x:v>
      </x:c>
      <x:c r="C9" s="10" t="n">
        <x:v>0</x:v>
      </x:c>
      <x:c r="D9" s="10" t="n">
        <x:v>0</x:v>
      </x:c>
      <x:c r="E9" s="10" t="n">
        <x:v>0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84</x:v>
      </x:c>
      <x:c r="K9" s="10" t="n">
        <x:v>0</x:v>
      </x:c>
      <x:c r="L9" s="10" t="str">
        <x:v>健康</x:v>
      </x:c>
      <x:c r="M9" s="10" t="n">
        <x:f>XLOOKUP(A9,'日期维表'!$A$2:$A$43,'日期维表'!$F$2:$F$43,0)</x:f>
        <x:v>1</x:v>
      </x:c>
      <x:c r="N9" s="10" t="str">
        <x:f>XLOOKUP(B9,'产品维表'!$A$2:$A$5,'产品维表'!$B$2:$B$5,"未映射")</x:f>
        <x:v>H2</x:v>
      </x:c>
      <x:c r="O9" s="10" t="n">
        <x:f>C9+D9-F9-G9</x:f>
        <x:v>0</x:v>
      </x:c>
    </x:row>
    <x:row r="10" ht="15" hidden="0" customHeight="1">
      <x:c r="A10" s="10" t="n">
        <x:v>202203</x:v>
      </x:c>
      <x:c r="B10" s="10" t="n">
        <x:v>101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176</x:v>
      </x:c>
      <x:c r="K10" s="10" t="n">
        <x:v>0</x:v>
      </x:c>
      <x:c r="L10" s="10" t="str">
        <x:v>健康</x:v>
      </x:c>
      <x:c r="M10" s="10" t="n">
        <x:f>XLOOKUP(A10,'日期维表'!$A$2:$A$43,'日期维表'!$F$2:$F$43,0)</x:f>
        <x:v>1</x:v>
      </x:c>
      <x:c r="N10" s="10" t="str">
        <x:f>XLOOKUP(B10,'产品维表'!$A$2:$A$5,'产品维表'!$B$2:$B$5,"未映射")</x:f>
        <x:v>L1</x:v>
      </x:c>
      <x:c r="O10" s="10" t="n">
        <x:f>C10+D10-F10-G10</x:f>
        <x:v>0</x:v>
      </x:c>
    </x:row>
    <x:row r="11" ht="15" hidden="0" customHeight="1">
      <x:c r="A11" s="10" t="n">
        <x:v>202203</x:v>
      </x:c>
      <x:c r="B11" s="10" t="n">
        <x:v>102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  <x:c r="H11" s="10" t="n">
        <x:v>0</x:v>
      </x:c>
      <x:c r="I11" s="10" t="n">
        <x:v>0</x:v>
      </x:c>
      <x:c r="J11" s="10" t="n">
        <x:v>145</x:v>
      </x:c>
      <x:c r="K11" s="10" t="n">
        <x:v>0</x:v>
      </x:c>
      <x:c r="L11" s="10" t="str">
        <x:v>健康</x:v>
      </x:c>
      <x:c r="M11" s="10" t="n">
        <x:f>XLOOKUP(A11,'日期维表'!$A$2:$A$43,'日期维表'!$F$2:$F$43,0)</x:f>
        <x:v>1</x:v>
      </x:c>
      <x:c r="N11" s="10" t="str">
        <x:f>XLOOKUP(B11,'产品维表'!$A$2:$A$5,'产品维表'!$B$2:$B$5,"未映射")</x:f>
        <x:v>L2</x:v>
      </x:c>
      <x:c r="O11" s="10" t="n">
        <x:f>C11+D11-F11-G11</x:f>
        <x:v>0</x:v>
      </x:c>
    </x:row>
    <x:row r="12" ht="15" hidden="0" customHeight="1">
      <x:c r="A12" s="10" t="n">
        <x:v>202203</x:v>
      </x:c>
      <x:c r="B12" s="10" t="n">
        <x:v>201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0</x:v>
      </x:c>
      <x:c r="J12" s="10" t="n">
        <x:v>115</x:v>
      </x:c>
      <x:c r="K12" s="10" t="n">
        <x:v>0</x:v>
      </x:c>
      <x:c r="L12" s="10" t="str">
        <x:v>健康</x:v>
      </x:c>
      <x:c r="M12" s="10" t="n">
        <x:f>XLOOKUP(A12,'日期维表'!$A$2:$A$43,'日期维表'!$F$2:$F$43,0)</x:f>
        <x:v>1</x:v>
      </x:c>
      <x:c r="N12" s="10" t="str">
        <x:f>XLOOKUP(B12,'产品维表'!$A$2:$A$5,'产品维表'!$B$2:$B$5,"未映射")</x:f>
        <x:v>H1</x:v>
      </x:c>
      <x:c r="O12" s="10" t="n">
        <x:f>C12+D12-F12-G12</x:f>
        <x:v>0</x:v>
      </x:c>
    </x:row>
    <x:row r="13" ht="15" hidden="0" customHeight="1">
      <x:c r="A13" s="10" t="n">
        <x:v>202203</x:v>
      </x:c>
      <x:c r="B13" s="10" t="n">
        <x:v>202</x:v>
      </x:c>
      <x:c r="C13" s="10" t="n">
        <x:v>0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84</x:v>
      </x:c>
      <x:c r="K13" s="10" t="n">
        <x:v>0</x:v>
      </x:c>
      <x:c r="L13" s="10" t="str">
        <x:v>健康</x:v>
      </x:c>
      <x:c r="M13" s="10" t="n">
        <x:f>XLOOKUP(A13,'日期维表'!$A$2:$A$43,'日期维表'!$F$2:$F$43,0)</x:f>
        <x:v>1</x:v>
      </x:c>
      <x:c r="N13" s="10" t="str">
        <x:f>XLOOKUP(B13,'产品维表'!$A$2:$A$5,'产品维表'!$B$2:$B$5,"未映射")</x:f>
        <x:v>H2</x:v>
      </x:c>
      <x:c r="O13" s="10" t="n">
        <x:f>C13+D13-F13-G13</x:f>
        <x:v>0</x:v>
      </x:c>
    </x:row>
    <x:row r="14" ht="15" hidden="0" customHeight="1">
      <x:c r="A14" s="10" t="n">
        <x:v>202204</x:v>
      </x:c>
      <x:c r="B14" s="10" t="n">
        <x:v>101</x:v>
      </x:c>
      <x:c r="C14" s="10" t="n">
        <x:v>0</x:v>
      </x:c>
      <x:c r="D14" s="10" t="n">
        <x:v>64</x:v>
      </x:c>
      <x:c r="E14" s="10" t="n">
        <x:v>0</x:v>
      </x:c>
      <x:c r="F14" s="10" t="n">
        <x:v>0</x:v>
      </x:c>
      <x:c r="G14" s="10" t="n">
        <x:v>64</x:v>
      </x:c>
      <x:c r="H14" s="10" t="n">
        <x:v>0</x:v>
      </x:c>
      <x:c r="I14" s="10" t="n">
        <x:v>116480</x:v>
      </x:c>
      <x:c r="J14" s="10" t="n">
        <x:v>176</x:v>
      </x:c>
      <x:c r="K14" s="10" t="n">
        <x:v>90</x:v>
      </x:c>
      <x:c r="L14" s="10" t="str">
        <x:v>偏高</x:v>
      </x:c>
      <x:c r="M14" s="10" t="n">
        <x:f>XLOOKUP(A14,'日期维表'!$A$2:$A$43,'日期维表'!$F$2:$F$43,0)</x:f>
        <x:v>2</x:v>
      </x:c>
      <x:c r="N14" s="10" t="str">
        <x:f>XLOOKUP(B14,'产品维表'!$A$2:$A$5,'产品维表'!$B$2:$B$5,"未映射")</x:f>
        <x:v>L1</x:v>
      </x:c>
      <x:c r="O14" s="10" t="n">
        <x:f>C14+D14-F14-G14</x:f>
        <x:v>0</x:v>
      </x:c>
    </x:row>
    <x:row r="15" ht="15" hidden="0" customHeight="1">
      <x:c r="A15" s="10" t="n">
        <x:v>202204</x:v>
      </x:c>
      <x:c r="B15" s="10" t="n">
        <x:v>102</x:v>
      </x:c>
      <x:c r="C15" s="10" t="n">
        <x:v>0</x:v>
      </x:c>
      <x:c r="D15" s="10" t="n">
        <x:v>64</x:v>
      </x:c>
      <x:c r="E15" s="10" t="n">
        <x:v>0</x:v>
      </x:c>
      <x:c r="F15" s="10" t="n">
        <x:v>0</x:v>
      </x:c>
      <x:c r="G15" s="10" t="n">
        <x:v>64</x:v>
      </x:c>
      <x:c r="H15" s="10" t="n">
        <x:v>0</x:v>
      </x:c>
      <x:c r="I15" s="10" t="n">
        <x:v>142720</x:v>
      </x:c>
      <x:c r="J15" s="10" t="n">
        <x:v>145</x:v>
      </x:c>
      <x:c r="K15" s="10" t="n">
        <x:v>90</x:v>
      </x:c>
      <x:c r="L15" s="10" t="str">
        <x:v>偏高</x:v>
      </x:c>
      <x:c r="M15" s="10" t="n">
        <x:f>XLOOKUP(A15,'日期维表'!$A$2:$A$43,'日期维表'!$F$2:$F$43,0)</x:f>
        <x:v>2</x:v>
      </x:c>
      <x:c r="N15" s="10" t="str">
        <x:f>XLOOKUP(B15,'产品维表'!$A$2:$A$5,'产品维表'!$B$2:$B$5,"未映射")</x:f>
        <x:v>L2</x:v>
      </x:c>
      <x:c r="O15" s="10" t="n">
        <x:f>C15+D15-F15-G15</x:f>
        <x:v>0</x:v>
      </x:c>
    </x:row>
    <x:row r="16" ht="15" hidden="0" customHeight="1">
      <x:c r="A16" s="10" t="n">
        <x:v>202204</x:v>
      </x:c>
      <x:c r="B16" s="10" t="n">
        <x:v>201</x:v>
      </x:c>
      <x:c r="C16" s="10" t="n">
        <x:v>0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115</x:v>
      </x:c>
      <x:c r="K16" s="10" t="n">
        <x:v>0</x:v>
      </x:c>
      <x:c r="L16" s="10" t="str">
        <x:v>健康</x:v>
      </x:c>
      <x:c r="M16" s="10" t="n">
        <x:f>XLOOKUP(A16,'日期维表'!$A$2:$A$43,'日期维表'!$F$2:$F$43,0)</x:f>
        <x:v>2</x:v>
      </x:c>
      <x:c r="N16" s="10" t="str">
        <x:f>XLOOKUP(B16,'产品维表'!$A$2:$A$5,'产品维表'!$B$2:$B$5,"未映射")</x:f>
        <x:v>H1</x:v>
      </x:c>
      <x:c r="O16" s="10" t="n">
        <x:f>C16+D16-F16-G16</x:f>
        <x:v>0</x:v>
      </x:c>
    </x:row>
    <x:row r="17" ht="15" hidden="0" customHeight="1">
      <x:c r="A17" s="10" t="n">
        <x:v>202204</x:v>
      </x:c>
      <x:c r="B17" s="10" t="n">
        <x:v>202</x:v>
      </x:c>
      <x:c r="C17" s="10" t="n">
        <x:v>0</x:v>
      </x:c>
      <x:c r="D17" s="10" t="n">
        <x:v>0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0</x:v>
      </x:c>
      <x:c r="J17" s="10" t="n">
        <x:v>84</x:v>
      </x:c>
      <x:c r="K17" s="10" t="n">
        <x:v>0</x:v>
      </x:c>
      <x:c r="L17" s="10" t="str">
        <x:v>健康</x:v>
      </x:c>
      <x:c r="M17" s="10" t="n">
        <x:f>XLOOKUP(A17,'日期维表'!$A$2:$A$43,'日期维表'!$F$2:$F$43,0)</x:f>
        <x:v>2</x:v>
      </x:c>
      <x:c r="N17" s="10" t="str">
        <x:f>XLOOKUP(B17,'产品维表'!$A$2:$A$5,'产品维表'!$B$2:$B$5,"未映射")</x:f>
        <x:v>H2</x:v>
      </x:c>
      <x:c r="O17" s="10" t="n">
        <x:f>C17+D17-F17-G17</x:f>
        <x:v>0</x:v>
      </x:c>
    </x:row>
    <x:row r="18" ht="15" hidden="0" customHeight="1">
      <x:c r="A18" s="10" t="n">
        <x:v>202205</x:v>
      </x:c>
      <x:c r="B18" s="10" t="n">
        <x:v>101</x:v>
      </x:c>
      <x:c r="C18" s="10" t="n">
        <x:v>64</x:v>
      </x:c>
      <x:c r="D18" s="10" t="n">
        <x:v>1</x:v>
      </x:c>
      <x:c r="E18" s="10" t="n">
        <x:v>0</x:v>
      </x:c>
      <x:c r="F18" s="10" t="n">
        <x:v>0</x:v>
      </x:c>
      <x:c r="G18" s="10" t="n">
        <x:v>65</x:v>
      </x:c>
      <x:c r="H18" s="10" t="n">
        <x:v>0</x:v>
      </x:c>
      <x:c r="I18" s="10" t="n">
        <x:v>118300</x:v>
      </x:c>
      <x:c r="J18" s="10" t="n">
        <x:v>176</x:v>
      </x:c>
      <x:c r="K18" s="10" t="n">
        <x:v>90</x:v>
      </x:c>
      <x:c r="L18" s="10" t="str">
        <x:v>偏高</x:v>
      </x:c>
      <x:c r="M18" s="10" t="n">
        <x:f>XLOOKUP(A18,'日期维表'!$A$2:$A$43,'日期维表'!$F$2:$F$43,0)</x:f>
        <x:v>2</x:v>
      </x:c>
      <x:c r="N18" s="10" t="str">
        <x:f>XLOOKUP(B18,'产品维表'!$A$2:$A$5,'产品维表'!$B$2:$B$5,"未映射")</x:f>
        <x:v>L1</x:v>
      </x:c>
      <x:c r="O18" s="10" t="n">
        <x:f>C18+D18-F18-G18</x:f>
        <x:v>0</x:v>
      </x:c>
    </x:row>
    <x:row r="19" ht="15" hidden="0" customHeight="1">
      <x:c r="A19" s="10" t="n">
        <x:v>202205</x:v>
      </x:c>
      <x:c r="B19" s="10" t="n">
        <x:v>102</x:v>
      </x:c>
      <x:c r="C19" s="10" t="n">
        <x:v>64</x:v>
      </x:c>
      <x:c r="D19" s="10" t="n">
        <x:v>1</x:v>
      </x:c>
      <x:c r="E19" s="10" t="n">
        <x:v>0</x:v>
      </x:c>
      <x:c r="F19" s="10" t="n">
        <x:v>0</x:v>
      </x:c>
      <x:c r="G19" s="10" t="n">
        <x:v>65</x:v>
      </x:c>
      <x:c r="H19" s="10" t="n">
        <x:v>0</x:v>
      </x:c>
      <x:c r="I19" s="10" t="n">
        <x:v>144950</x:v>
      </x:c>
      <x:c r="J19" s="10" t="n">
        <x:v>145</x:v>
      </x:c>
      <x:c r="K19" s="10" t="n">
        <x:v>90</x:v>
      </x:c>
      <x:c r="L19" s="10" t="str">
        <x:v>偏高</x:v>
      </x:c>
      <x:c r="M19" s="10" t="n">
        <x:f>XLOOKUP(A19,'日期维表'!$A$2:$A$43,'日期维表'!$F$2:$F$43,0)</x:f>
        <x:v>2</x:v>
      </x:c>
      <x:c r="N19" s="10" t="str">
        <x:f>XLOOKUP(B19,'产品维表'!$A$2:$A$5,'产品维表'!$B$2:$B$5,"未映射")</x:f>
        <x:v>L2</x:v>
      </x:c>
      <x:c r="O19" s="10" t="n">
        <x:f>C19+D19-F19-G19</x:f>
        <x:v>0</x:v>
      </x:c>
    </x:row>
    <x:row r="20" ht="15" hidden="0" customHeight="1">
      <x:c r="A20" s="10" t="n">
        <x:v>202205</x:v>
      </x:c>
      <x:c r="B20" s="10" t="n">
        <x:v>201</x:v>
      </x:c>
      <x:c r="C20" s="10" t="n">
        <x:v>0</x:v>
      </x:c>
      <x:c r="D20" s="10" t="n">
        <x:v>0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0</x:v>
      </x:c>
      <x:c r="J20" s="10" t="n">
        <x:v>115</x:v>
      </x:c>
      <x:c r="K20" s="10" t="n">
        <x:v>0</x:v>
      </x:c>
      <x:c r="L20" s="10" t="str">
        <x:v>健康</x:v>
      </x:c>
      <x:c r="M20" s="10" t="n">
        <x:f>XLOOKUP(A20,'日期维表'!$A$2:$A$43,'日期维表'!$F$2:$F$43,0)</x:f>
        <x:v>2</x:v>
      </x:c>
      <x:c r="N20" s="10" t="str">
        <x:f>XLOOKUP(B20,'产品维表'!$A$2:$A$5,'产品维表'!$B$2:$B$5,"未映射")</x:f>
        <x:v>H1</x:v>
      </x:c>
      <x:c r="O20" s="10" t="n">
        <x:f>C20+D20-F20-G20</x:f>
        <x:v>0</x:v>
      </x:c>
    </x:row>
    <x:row r="21" ht="15" hidden="0" customHeight="1">
      <x:c r="A21" s="10" t="n">
        <x:v>202205</x:v>
      </x:c>
      <x:c r="B21" s="10" t="n">
        <x:v>202</x:v>
      </x:c>
      <x:c r="C21" s="10" t="n">
        <x:v>0</x:v>
      </x:c>
      <x:c r="D21" s="10" t="n">
        <x:v>0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0</x:v>
      </x:c>
      <x:c r="J21" s="10" t="n">
        <x:v>84</x:v>
      </x:c>
      <x:c r="K21" s="10" t="n">
        <x:v>0</x:v>
      </x:c>
      <x:c r="L21" s="10" t="str">
        <x:v>健康</x:v>
      </x:c>
      <x:c r="M21" s="10" t="n">
        <x:f>XLOOKUP(A21,'日期维表'!$A$2:$A$43,'日期维表'!$F$2:$F$43,0)</x:f>
        <x:v>2</x:v>
      </x:c>
      <x:c r="N21" s="10" t="str">
        <x:f>XLOOKUP(B21,'产品维表'!$A$2:$A$5,'产品维表'!$B$2:$B$5,"未映射")</x:f>
        <x:v>H2</x:v>
      </x:c>
      <x:c r="O21" s="10" t="n">
        <x:f>C21+D21-F21-G21</x:f>
        <x:v>0</x:v>
      </x:c>
    </x:row>
    <x:row r="22" ht="15" hidden="0" customHeight="1">
      <x:c r="A22" s="10" t="n">
        <x:v>202206</x:v>
      </x:c>
      <x:c r="B22" s="10" t="n">
        <x:v>101</x:v>
      </x:c>
      <x:c r="C22" s="10" t="n">
        <x:v>65</x:v>
      </x:c>
      <x:c r="D22" s="10" t="n">
        <x:v>0</x:v>
      </x:c>
      <x:c r="E22" s="10" t="n">
        <x:v>0</x:v>
      </x:c>
      <x:c r="F22" s="10" t="n">
        <x:v>0</x:v>
      </x:c>
      <x:c r="G22" s="10" t="n">
        <x:v>65</x:v>
      </x:c>
      <x:c r="H22" s="10" t="n">
        <x:v>0</x:v>
      </x:c>
      <x:c r="I22" s="10" t="n">
        <x:v>118300</x:v>
      </x:c>
      <x:c r="J22" s="10" t="n">
        <x:v>176</x:v>
      </x:c>
      <x:c r="K22" s="10" t="n">
        <x:v>90</x:v>
      </x:c>
      <x:c r="L22" s="10" t="str">
        <x:v>偏高</x:v>
      </x:c>
      <x:c r="M22" s="10" t="n">
        <x:f>XLOOKUP(A22,'日期维表'!$A$2:$A$43,'日期维表'!$F$2:$F$43,0)</x:f>
        <x:v>2</x:v>
      </x:c>
      <x:c r="N22" s="10" t="str">
        <x:f>XLOOKUP(B22,'产品维表'!$A$2:$A$5,'产品维表'!$B$2:$B$5,"未映射")</x:f>
        <x:v>L1</x:v>
      </x:c>
      <x:c r="O22" s="10" t="n">
        <x:f>C22+D22-F22-G22</x:f>
        <x:v>0</x:v>
      </x:c>
    </x:row>
    <x:row r="23" ht="15" hidden="0" customHeight="1">
      <x:c r="A23" s="10" t="n">
        <x:v>202206</x:v>
      </x:c>
      <x:c r="B23" s="10" t="n">
        <x:v>102</x:v>
      </x:c>
      <x:c r="C23" s="10" t="n">
        <x:v>65</x:v>
      </x:c>
      <x:c r="D23" s="10" t="n">
        <x:v>0</x:v>
      </x:c>
      <x:c r="E23" s="10" t="n">
        <x:v>0</x:v>
      </x:c>
      <x:c r="F23" s="10" t="n">
        <x:v>0</x:v>
      </x:c>
      <x:c r="G23" s="10" t="n">
        <x:v>65</x:v>
      </x:c>
      <x:c r="H23" s="10" t="n">
        <x:v>0</x:v>
      </x:c>
      <x:c r="I23" s="10" t="n">
        <x:v>144950</x:v>
      </x:c>
      <x:c r="J23" s="10" t="n">
        <x:v>145</x:v>
      </x:c>
      <x:c r="K23" s="10" t="n">
        <x:v>90</x:v>
      </x:c>
      <x:c r="L23" s="10" t="str">
        <x:v>偏高</x:v>
      </x:c>
      <x:c r="M23" s="10" t="n">
        <x:f>XLOOKUP(A23,'日期维表'!$A$2:$A$43,'日期维表'!$F$2:$F$43,0)</x:f>
        <x:v>2</x:v>
      </x:c>
      <x:c r="N23" s="10" t="str">
        <x:f>XLOOKUP(B23,'产品维表'!$A$2:$A$5,'产品维表'!$B$2:$B$5,"未映射")</x:f>
        <x:v>L2</x:v>
      </x:c>
      <x:c r="O23" s="10" t="n">
        <x:f>C23+D23-F23-G23</x:f>
        <x:v>0</x:v>
      </x:c>
    </x:row>
    <x:row r="24" ht="15" hidden="0" customHeight="1">
      <x:c r="A24" s="10" t="n">
        <x:v>202206</x:v>
      </x:c>
      <x:c r="B24" s="10" t="n">
        <x:v>201</x:v>
      </x:c>
      <x:c r="C24" s="10" t="n">
        <x:v>0</x:v>
      </x:c>
      <x:c r="D24" s="10" t="n">
        <x:v>0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115</x:v>
      </x:c>
      <x:c r="K24" s="10" t="n">
        <x:v>0</x:v>
      </x:c>
      <x:c r="L24" s="10" t="str">
        <x:v>健康</x:v>
      </x:c>
      <x:c r="M24" s="10" t="n">
        <x:f>XLOOKUP(A24,'日期维表'!$A$2:$A$43,'日期维表'!$F$2:$F$43,0)</x:f>
        <x:v>2</x:v>
      </x:c>
      <x:c r="N24" s="10" t="str">
        <x:f>XLOOKUP(B24,'产品维表'!$A$2:$A$5,'产品维表'!$B$2:$B$5,"未映射")</x:f>
        <x:v>H1</x:v>
      </x:c>
      <x:c r="O24" s="10" t="n">
        <x:f>C24+D24-F24-G24</x:f>
        <x:v>0</x:v>
      </x:c>
    </x:row>
    <x:row r="25" ht="15" hidden="0" customHeight="1">
      <x:c r="A25" s="10" t="n">
        <x:v>202206</x:v>
      </x:c>
      <x:c r="B25" s="10" t="n">
        <x:v>202</x:v>
      </x:c>
      <x:c r="C25" s="10" t="n">
        <x:v>0</x:v>
      </x:c>
      <x:c r="D25" s="10" t="n">
        <x:v>0</x:v>
      </x:c>
      <x:c r="E25" s="10" t="n">
        <x:v>0</x:v>
      </x:c>
      <x:c r="F25" s="10" t="n">
        <x:v>0</x:v>
      </x:c>
      <x:c r="G25" s="10" t="n">
        <x:v>0</x:v>
      </x:c>
      <x:c r="H25" s="10" t="n">
        <x:v>0</x:v>
      </x:c>
      <x:c r="I25" s="10" t="n">
        <x:v>0</x:v>
      </x:c>
      <x:c r="J25" s="10" t="n">
        <x:v>84</x:v>
      </x:c>
      <x:c r="K25" s="10" t="n">
        <x:v>0</x:v>
      </x:c>
      <x:c r="L25" s="10" t="str">
        <x:v>健康</x:v>
      </x:c>
      <x:c r="M25" s="10" t="n">
        <x:f>XLOOKUP(A25,'日期维表'!$A$2:$A$43,'日期维表'!$F$2:$F$43,0)</x:f>
        <x:v>2</x:v>
      </x:c>
      <x:c r="N25" s="10" t="str">
        <x:f>XLOOKUP(B25,'产品维表'!$A$2:$A$5,'产品维表'!$B$2:$B$5,"未映射")</x:f>
        <x:v>H2</x:v>
      </x:c>
      <x:c r="O25" s="10" t="n">
        <x:f>C25+D25-F25-G25</x:f>
        <x:v>0</x:v>
      </x:c>
    </x:row>
    <x:row r="26" ht="15" hidden="0" customHeight="1">
      <x:c r="A26" s="10" t="n">
        <x:v>202207</x:v>
      </x:c>
      <x:c r="B26" s="10" t="n">
        <x:v>101</x:v>
      </x:c>
      <x:c r="C26" s="10" t="n">
        <x:v>65</x:v>
      </x:c>
      <x:c r="D26" s="10" t="n">
        <x:v>0</x:v>
      </x:c>
      <x:c r="E26" s="10" t="n">
        <x:v>0</x:v>
      </x:c>
      <x:c r="F26" s="10" t="n">
        <x:v>0</x:v>
      </x:c>
      <x:c r="G26" s="10" t="n">
        <x:v>65</x:v>
      </x:c>
      <x:c r="H26" s="10" t="n">
        <x:v>0</x:v>
      </x:c>
      <x:c r="I26" s="10" t="n">
        <x:v>118300</x:v>
      </x:c>
      <x:c r="J26" s="10" t="n">
        <x:v>176</x:v>
      </x:c>
      <x:c r="K26" s="10" t="n">
        <x:v>90</x:v>
      </x:c>
      <x:c r="L26" s="10" t="str">
        <x:v>偏高</x:v>
      </x:c>
      <x:c r="M26" s="10" t="n">
        <x:f>XLOOKUP(A26,'日期维表'!$A$2:$A$43,'日期维表'!$F$2:$F$43,0)</x:f>
        <x:v>3</x:v>
      </x:c>
      <x:c r="N26" s="10" t="str">
        <x:f>XLOOKUP(B26,'产品维表'!$A$2:$A$5,'产品维表'!$B$2:$B$5,"未映射")</x:f>
        <x:v>L1</x:v>
      </x:c>
      <x:c r="O26" s="10" t="n">
        <x:f>C26+D26-F26-G26</x:f>
        <x:v>0</x:v>
      </x:c>
    </x:row>
    <x:row r="27" ht="15" hidden="0" customHeight="1">
      <x:c r="A27" s="10" t="n">
        <x:v>202207</x:v>
      </x:c>
      <x:c r="B27" s="10" t="n">
        <x:v>102</x:v>
      </x:c>
      <x:c r="C27" s="10" t="n">
        <x:v>65</x:v>
      </x:c>
      <x:c r="D27" s="10" t="n">
        <x:v>0</x:v>
      </x:c>
      <x:c r="E27" s="10" t="n">
        <x:v>0</x:v>
      </x:c>
      <x:c r="F27" s="10" t="n">
        <x:v>0</x:v>
      </x:c>
      <x:c r="G27" s="10" t="n">
        <x:v>65</x:v>
      </x:c>
      <x:c r="H27" s="10" t="n">
        <x:v>0</x:v>
      </x:c>
      <x:c r="I27" s="10" t="n">
        <x:v>144950</x:v>
      </x:c>
      <x:c r="J27" s="10" t="n">
        <x:v>145</x:v>
      </x:c>
      <x:c r="K27" s="10" t="n">
        <x:v>90</x:v>
      </x:c>
      <x:c r="L27" s="10" t="str">
        <x:v>偏高</x:v>
      </x:c>
      <x:c r="M27" s="10" t="n">
        <x:f>XLOOKUP(A27,'日期维表'!$A$2:$A$43,'日期维表'!$F$2:$F$43,0)</x:f>
        <x:v>3</x:v>
      </x:c>
      <x:c r="N27" s="10" t="str">
        <x:f>XLOOKUP(B27,'产品维表'!$A$2:$A$5,'产品维表'!$B$2:$B$5,"未映射")</x:f>
        <x:v>L2</x:v>
      </x:c>
      <x:c r="O27" s="10" t="n">
        <x:f>C27+D27-F27-G27</x:f>
        <x:v>0</x:v>
      </x:c>
    </x:row>
    <x:row r="28" ht="15" hidden="0" customHeight="1">
      <x:c r="A28" s="10" t="n">
        <x:v>202207</x:v>
      </x:c>
      <x:c r="B28" s="10" t="n">
        <x:v>201</x:v>
      </x:c>
      <x:c r="C28" s="10" t="n">
        <x:v>0</x:v>
      </x:c>
      <x:c r="D28" s="10" t="n">
        <x:v>0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0</x:v>
      </x:c>
      <x:c r="J28" s="10" t="n">
        <x:v>115</x:v>
      </x:c>
      <x:c r="K28" s="10" t="n">
        <x:v>0</x:v>
      </x:c>
      <x:c r="L28" s="10" t="str">
        <x:v>健康</x:v>
      </x:c>
      <x:c r="M28" s="10" t="n">
        <x:f>XLOOKUP(A28,'日期维表'!$A$2:$A$43,'日期维表'!$F$2:$F$43,0)</x:f>
        <x:v>3</x:v>
      </x:c>
      <x:c r="N28" s="10" t="str">
        <x:f>XLOOKUP(B28,'产品维表'!$A$2:$A$5,'产品维表'!$B$2:$B$5,"未映射")</x:f>
        <x:v>H1</x:v>
      </x:c>
      <x:c r="O28" s="10" t="n">
        <x:f>C28+D28-F28-G28</x:f>
        <x:v>0</x:v>
      </x:c>
    </x:row>
    <x:row r="29" ht="15" hidden="0" customHeight="1">
      <x:c r="A29" s="10" t="n">
        <x:v>202207</x:v>
      </x:c>
      <x:c r="B29" s="10" t="n">
        <x:v>202</x:v>
      </x:c>
      <x:c r="C29" s="10" t="n">
        <x:v>0</x:v>
      </x:c>
      <x:c r="D29" s="10" t="n">
        <x:v>0</x:v>
      </x:c>
      <x:c r="E29" s="10" t="n">
        <x:v>0</x:v>
      </x:c>
      <x:c r="F29" s="10" t="n">
        <x:v>0</x:v>
      </x:c>
      <x:c r="G29" s="10" t="n">
        <x:v>0</x:v>
      </x:c>
      <x:c r="H29" s="10" t="n">
        <x:v>0</x:v>
      </x:c>
      <x:c r="I29" s="10" t="n">
        <x:v>0</x:v>
      </x:c>
      <x:c r="J29" s="10" t="n">
        <x:v>84</x:v>
      </x:c>
      <x:c r="K29" s="10" t="n">
        <x:v>0</x:v>
      </x:c>
      <x:c r="L29" s="10" t="str">
        <x:v>健康</x:v>
      </x:c>
      <x:c r="M29" s="10" t="n">
        <x:f>XLOOKUP(A29,'日期维表'!$A$2:$A$43,'日期维表'!$F$2:$F$43,0)</x:f>
        <x:v>3</x:v>
      </x:c>
      <x:c r="N29" s="10" t="str">
        <x:f>XLOOKUP(B29,'产品维表'!$A$2:$A$5,'产品维表'!$B$2:$B$5,"未映射")</x:f>
        <x:v>H2</x:v>
      </x:c>
      <x:c r="O29" s="10" t="n">
        <x:f>C29+D29-F29-G29</x:f>
        <x:v>0</x:v>
      </x:c>
    </x:row>
    <x:row r="30" ht="15" hidden="0" customHeight="1">
      <x:c r="A30" s="10" t="n">
        <x:v>202208</x:v>
      </x:c>
      <x:c r="B30" s="10" t="n">
        <x:v>101</x:v>
      </x:c>
      <x:c r="C30" s="10" t="n">
        <x:v>65</x:v>
      </x:c>
      <x:c r="D30" s="10" t="n">
        <x:v>0</x:v>
      </x:c>
      <x:c r="E30" s="10" t="n">
        <x:v>0</x:v>
      </x:c>
      <x:c r="F30" s="10" t="n">
        <x:v>0</x:v>
      </x:c>
      <x:c r="G30" s="10" t="n">
        <x:v>65</x:v>
      </x:c>
      <x:c r="H30" s="10" t="n">
        <x:v>0</x:v>
      </x:c>
      <x:c r="I30" s="10" t="n">
        <x:v>118300</x:v>
      </x:c>
      <x:c r="J30" s="10" t="n">
        <x:v>176</x:v>
      </x:c>
      <x:c r="K30" s="10" t="n">
        <x:v>90</x:v>
      </x:c>
      <x:c r="L30" s="10" t="str">
        <x:v>偏高</x:v>
      </x:c>
      <x:c r="M30" s="10" t="n">
        <x:f>XLOOKUP(A30,'日期维表'!$A$2:$A$43,'日期维表'!$F$2:$F$43,0)</x:f>
        <x:v>3</x:v>
      </x:c>
      <x:c r="N30" s="10" t="str">
        <x:f>XLOOKUP(B30,'产品维表'!$A$2:$A$5,'产品维表'!$B$2:$B$5,"未映射")</x:f>
        <x:v>L1</x:v>
      </x:c>
      <x:c r="O30" s="10" t="n">
        <x:f>C30+D30-F30-G30</x:f>
        <x:v>0</x:v>
      </x:c>
    </x:row>
    <x:row r="31" ht="15" hidden="0" customHeight="1">
      <x:c r="A31" s="10" t="n">
        <x:v>202208</x:v>
      </x:c>
      <x:c r="B31" s="10" t="n">
        <x:v>102</x:v>
      </x:c>
      <x:c r="C31" s="10" t="n">
        <x:v>65</x:v>
      </x:c>
      <x:c r="D31" s="10" t="n">
        <x:v>0</x:v>
      </x:c>
      <x:c r="E31" s="10" t="n">
        <x:v>0</x:v>
      </x:c>
      <x:c r="F31" s="10" t="n">
        <x:v>0</x:v>
      </x:c>
      <x:c r="G31" s="10" t="n">
        <x:v>65</x:v>
      </x:c>
      <x:c r="H31" s="10" t="n">
        <x:v>0</x:v>
      </x:c>
      <x:c r="I31" s="10" t="n">
        <x:v>144950</x:v>
      </x:c>
      <x:c r="J31" s="10" t="n">
        <x:v>145</x:v>
      </x:c>
      <x:c r="K31" s="10" t="n">
        <x:v>90</x:v>
      </x:c>
      <x:c r="L31" s="10" t="str">
        <x:v>偏高</x:v>
      </x:c>
      <x:c r="M31" s="10" t="n">
        <x:f>XLOOKUP(A31,'日期维表'!$A$2:$A$43,'日期维表'!$F$2:$F$43,0)</x:f>
        <x:v>3</x:v>
      </x:c>
      <x:c r="N31" s="10" t="str">
        <x:f>XLOOKUP(B31,'产品维表'!$A$2:$A$5,'产品维表'!$B$2:$B$5,"未映射")</x:f>
        <x:v>L2</x:v>
      </x:c>
      <x:c r="O31" s="10" t="n">
        <x:f>C31+D31-F31-G31</x:f>
        <x:v>0</x:v>
      </x:c>
    </x:row>
    <x:row r="32" ht="15" hidden="0" customHeight="1">
      <x:c r="A32" s="10" t="n">
        <x:v>202208</x:v>
      </x:c>
      <x:c r="B32" s="10" t="n">
        <x:v>201</x:v>
      </x:c>
      <x:c r="C32" s="10" t="n">
        <x:v>0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115</x:v>
      </x:c>
      <x:c r="K32" s="10" t="n">
        <x:v>0</x:v>
      </x:c>
      <x:c r="L32" s="10" t="str">
        <x:v>健康</x:v>
      </x:c>
      <x:c r="M32" s="10" t="n">
        <x:f>XLOOKUP(A32,'日期维表'!$A$2:$A$43,'日期维表'!$F$2:$F$43,0)</x:f>
        <x:v>3</x:v>
      </x:c>
      <x:c r="N32" s="10" t="str">
        <x:f>XLOOKUP(B32,'产品维表'!$A$2:$A$5,'产品维表'!$B$2:$B$5,"未映射")</x:f>
        <x:v>H1</x:v>
      </x:c>
      <x:c r="O32" s="10" t="n">
        <x:f>C32+D32-F32-G32</x:f>
        <x:v>0</x:v>
      </x:c>
    </x:row>
    <x:row r="33" ht="15" hidden="0" customHeight="1">
      <x:c r="A33" s="10" t="n">
        <x:v>202208</x:v>
      </x:c>
      <x:c r="B33" s="10" t="n">
        <x:v>202</x:v>
      </x:c>
      <x:c r="C33" s="10" t="n">
        <x:v>0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0</x:v>
      </x:c>
      <x:c r="I33" s="10" t="n">
        <x:v>0</x:v>
      </x:c>
      <x:c r="J33" s="10" t="n">
        <x:v>84</x:v>
      </x:c>
      <x:c r="K33" s="10" t="n">
        <x:v>0</x:v>
      </x:c>
      <x:c r="L33" s="10" t="str">
        <x:v>健康</x:v>
      </x:c>
      <x:c r="M33" s="10" t="n">
        <x:f>XLOOKUP(A33,'日期维表'!$A$2:$A$43,'日期维表'!$F$2:$F$43,0)</x:f>
        <x:v>3</x:v>
      </x:c>
      <x:c r="N33" s="10" t="str">
        <x:f>XLOOKUP(B33,'产品维表'!$A$2:$A$5,'产品维表'!$B$2:$B$5,"未映射")</x:f>
        <x:v>H2</x:v>
      </x:c>
      <x:c r="O33" s="10" t="n">
        <x:f>C33+D33-F33-G33</x:f>
        <x:v>0</x:v>
      </x:c>
    </x:row>
    <x:row r="34" ht="15" hidden="0" customHeight="1">
      <x:c r="A34" s="10" t="n">
        <x:v>202209</x:v>
      </x:c>
      <x:c r="B34" s="10" t="n">
        <x:v>101</x:v>
      </x:c>
      <x:c r="C34" s="10" t="n">
        <x:v>65</x:v>
      </x:c>
      <x:c r="D34" s="10" t="n">
        <x:v>0</x:v>
      </x:c>
      <x:c r="E34" s="10" t="n">
        <x:v>0</x:v>
      </x:c>
      <x:c r="F34" s="10" t="n">
        <x:v>0</x:v>
      </x:c>
      <x:c r="G34" s="10" t="n">
        <x:v>65</x:v>
      </x:c>
      <x:c r="H34" s="10" t="n">
        <x:v>0</x:v>
      </x:c>
      <x:c r="I34" s="10" t="n">
        <x:v>118300</x:v>
      </x:c>
      <x:c r="J34" s="10" t="n">
        <x:v>176</x:v>
      </x:c>
      <x:c r="K34" s="10" t="n">
        <x:v>90</x:v>
      </x:c>
      <x:c r="L34" s="10" t="str">
        <x:v>偏高</x:v>
      </x:c>
      <x:c r="M34" s="10" t="n">
        <x:f>XLOOKUP(A34,'日期维表'!$A$2:$A$43,'日期维表'!$F$2:$F$43,0)</x:f>
        <x:v>3</x:v>
      </x:c>
      <x:c r="N34" s="10" t="str">
        <x:f>XLOOKUP(B34,'产品维表'!$A$2:$A$5,'产品维表'!$B$2:$B$5,"未映射")</x:f>
        <x:v>L1</x:v>
      </x:c>
      <x:c r="O34" s="10" t="n">
        <x:f>C34+D34-F34-G34</x:f>
        <x:v>0</x:v>
      </x:c>
    </x:row>
    <x:row r="35" ht="15" hidden="0" customHeight="1">
      <x:c r="A35" s="10" t="n">
        <x:v>202209</x:v>
      </x:c>
      <x:c r="B35" s="10" t="n">
        <x:v>102</x:v>
      </x:c>
      <x:c r="C35" s="10" t="n">
        <x:v>65</x:v>
      </x:c>
      <x:c r="D35" s="10" t="n">
        <x:v>0</x:v>
      </x:c>
      <x:c r="E35" s="10" t="n">
        <x:v>0</x:v>
      </x:c>
      <x:c r="F35" s="10" t="n">
        <x:v>0</x:v>
      </x:c>
      <x:c r="G35" s="10" t="n">
        <x:v>65</x:v>
      </x:c>
      <x:c r="H35" s="10" t="n">
        <x:v>0</x:v>
      </x:c>
      <x:c r="I35" s="10" t="n">
        <x:v>144950</x:v>
      </x:c>
      <x:c r="J35" s="10" t="n">
        <x:v>145</x:v>
      </x:c>
      <x:c r="K35" s="10" t="n">
        <x:v>90</x:v>
      </x:c>
      <x:c r="L35" s="10" t="str">
        <x:v>偏高</x:v>
      </x:c>
      <x:c r="M35" s="10" t="n">
        <x:f>XLOOKUP(A35,'日期维表'!$A$2:$A$43,'日期维表'!$F$2:$F$43,0)</x:f>
        <x:v>3</x:v>
      </x:c>
      <x:c r="N35" s="10" t="str">
        <x:f>XLOOKUP(B35,'产品维表'!$A$2:$A$5,'产品维表'!$B$2:$B$5,"未映射")</x:f>
        <x:v>L2</x:v>
      </x:c>
      <x:c r="O35" s="10" t="n">
        <x:f>C35+D35-F35-G35</x:f>
        <x:v>0</x:v>
      </x:c>
    </x:row>
    <x:row r="36" ht="15" hidden="0" customHeight="1">
      <x:c r="A36" s="10" t="n">
        <x:v>202209</x:v>
      </x:c>
      <x:c r="B36" s="10" t="n">
        <x:v>201</x:v>
      </x:c>
      <x:c r="C36" s="10" t="n">
        <x:v>0</x:v>
      </x:c>
      <x:c r="D36" s="10" t="n">
        <x:v>0</x:v>
      </x:c>
      <x:c r="E36" s="10" t="n">
        <x:v>0</x:v>
      </x:c>
      <x:c r="F36" s="10" t="n">
        <x:v>0</x:v>
      </x:c>
      <x:c r="G36" s="10" t="n">
        <x:v>0</x:v>
      </x:c>
      <x:c r="H36" s="10" t="n">
        <x:v>0</x:v>
      </x:c>
      <x:c r="I36" s="10" t="n">
        <x:v>0</x:v>
      </x:c>
      <x:c r="J36" s="10" t="n">
        <x:v>115</x:v>
      </x:c>
      <x:c r="K36" s="10" t="n">
        <x:v>0</x:v>
      </x:c>
      <x:c r="L36" s="10" t="str">
        <x:v>健康</x:v>
      </x:c>
      <x:c r="M36" s="10" t="n">
        <x:f>XLOOKUP(A36,'日期维表'!$A$2:$A$43,'日期维表'!$F$2:$F$43,0)</x:f>
        <x:v>3</x:v>
      </x:c>
      <x:c r="N36" s="10" t="str">
        <x:f>XLOOKUP(B36,'产品维表'!$A$2:$A$5,'产品维表'!$B$2:$B$5,"未映射")</x:f>
        <x:v>H1</x:v>
      </x:c>
      <x:c r="O36" s="10" t="n">
        <x:f>C36+D36-F36-G36</x:f>
        <x:v>0</x:v>
      </x:c>
    </x:row>
    <x:row r="37" ht="15" hidden="0" customHeight="1">
      <x:c r="A37" s="10" t="n">
        <x:v>202209</x:v>
      </x:c>
      <x:c r="B37" s="10" t="n">
        <x:v>202</x:v>
      </x:c>
      <x:c r="C37" s="10" t="n">
        <x:v>0</x:v>
      </x:c>
      <x:c r="D37" s="10" t="n">
        <x:v>0</x:v>
      </x:c>
      <x:c r="E37" s="10" t="n">
        <x:v>0</x:v>
      </x:c>
      <x:c r="F37" s="10" t="n">
        <x:v>0</x:v>
      </x:c>
      <x:c r="G37" s="10" t="n">
        <x:v>0</x:v>
      </x:c>
      <x:c r="H37" s="10" t="n">
        <x:v>0</x:v>
      </x:c>
      <x:c r="I37" s="10" t="n">
        <x:v>0</x:v>
      </x:c>
      <x:c r="J37" s="10" t="n">
        <x:v>84</x:v>
      </x:c>
      <x:c r="K37" s="10" t="n">
        <x:v>0</x:v>
      </x:c>
      <x:c r="L37" s="10" t="str">
        <x:v>健康</x:v>
      </x:c>
      <x:c r="M37" s="10" t="n">
        <x:f>XLOOKUP(A37,'日期维表'!$A$2:$A$43,'日期维表'!$F$2:$F$43,0)</x:f>
        <x:v>3</x:v>
      </x:c>
      <x:c r="N37" s="10" t="str">
        <x:f>XLOOKUP(B37,'产品维表'!$A$2:$A$5,'产品维表'!$B$2:$B$5,"未映射")</x:f>
        <x:v>H2</x:v>
      </x:c>
      <x:c r="O37" s="10" t="n">
        <x:f>C37+D37-F37-G37</x:f>
        <x:v>0</x:v>
      </x:c>
    </x:row>
    <x:row r="38" ht="15" hidden="0" customHeight="1">
      <x:c r="A38" s="10" t="n">
        <x:v>202210</x:v>
      </x:c>
      <x:c r="B38" s="10" t="n">
        <x:v>101</x:v>
      </x:c>
      <x:c r="C38" s="10" t="n">
        <x:v>65</x:v>
      </x:c>
      <x:c r="D38" s="10" t="n">
        <x:v>0</x:v>
      </x:c>
      <x:c r="E38" s="10" t="n">
        <x:v>0</x:v>
      </x:c>
      <x:c r="F38" s="10" t="n">
        <x:v>0</x:v>
      </x:c>
      <x:c r="G38" s="10" t="n">
        <x:v>65</x:v>
      </x:c>
      <x:c r="H38" s="10" t="n">
        <x:v>0</x:v>
      </x:c>
      <x:c r="I38" s="10" t="n">
        <x:v>118300</x:v>
      </x:c>
      <x:c r="J38" s="10" t="n">
        <x:v>176</x:v>
      </x:c>
      <x:c r="K38" s="10" t="n">
        <x:v>90</x:v>
      </x:c>
      <x:c r="L38" s="10" t="str">
        <x:v>偏高</x:v>
      </x:c>
      <x:c r="M38" s="10" t="n">
        <x:f>XLOOKUP(A38,'日期维表'!$A$2:$A$43,'日期维表'!$F$2:$F$43,0)</x:f>
        <x:v>4</x:v>
      </x:c>
      <x:c r="N38" s="10" t="str">
        <x:f>XLOOKUP(B38,'产品维表'!$A$2:$A$5,'产品维表'!$B$2:$B$5,"未映射")</x:f>
        <x:v>L1</x:v>
      </x:c>
      <x:c r="O38" s="10" t="n">
        <x:f>C38+D38-F38-G38</x:f>
        <x:v>0</x:v>
      </x:c>
    </x:row>
    <x:row r="39" ht="15" hidden="0" customHeight="1">
      <x:c r="A39" s="10" t="n">
        <x:v>202210</x:v>
      </x:c>
      <x:c r="B39" s="10" t="n">
        <x:v>102</x:v>
      </x:c>
      <x:c r="C39" s="10" t="n">
        <x:v>65</x:v>
      </x:c>
      <x:c r="D39" s="10" t="n">
        <x:v>0</x:v>
      </x:c>
      <x:c r="E39" s="10" t="n">
        <x:v>0</x:v>
      </x:c>
      <x:c r="F39" s="10" t="n">
        <x:v>0</x:v>
      </x:c>
      <x:c r="G39" s="10" t="n">
        <x:v>65</x:v>
      </x:c>
      <x:c r="H39" s="10" t="n">
        <x:v>0</x:v>
      </x:c>
      <x:c r="I39" s="10" t="n">
        <x:v>144950</x:v>
      </x:c>
      <x:c r="J39" s="10" t="n">
        <x:v>145</x:v>
      </x:c>
      <x:c r="K39" s="10" t="n">
        <x:v>90</x:v>
      </x:c>
      <x:c r="L39" s="10" t="str">
        <x:v>偏高</x:v>
      </x:c>
      <x:c r="M39" s="10" t="n">
        <x:f>XLOOKUP(A39,'日期维表'!$A$2:$A$43,'日期维表'!$F$2:$F$43,0)</x:f>
        <x:v>4</x:v>
      </x:c>
      <x:c r="N39" s="10" t="str">
        <x:f>XLOOKUP(B39,'产品维表'!$A$2:$A$5,'产品维表'!$B$2:$B$5,"未映射")</x:f>
        <x:v>L2</x:v>
      </x:c>
      <x:c r="O39" s="10" t="n">
        <x:f>C39+D39-F39-G39</x:f>
        <x:v>0</x:v>
      </x:c>
    </x:row>
    <x:row r="40" ht="15" hidden="0" customHeight="1">
      <x:c r="A40" s="10" t="n">
        <x:v>202210</x:v>
      </x:c>
      <x:c r="B40" s="10" t="n">
        <x:v>201</x:v>
      </x:c>
      <x:c r="C40" s="10" t="n">
        <x:v>0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0" t="n">
        <x:v>0</x:v>
      </x:c>
      <x:c r="I40" s="10" t="n">
        <x:v>0</x:v>
      </x:c>
      <x:c r="J40" s="10" t="n">
        <x:v>115</x:v>
      </x:c>
      <x:c r="K40" s="10" t="n">
        <x:v>0</x:v>
      </x:c>
      <x:c r="L40" s="10" t="str">
        <x:v>健康</x:v>
      </x:c>
      <x:c r="M40" s="10" t="n">
        <x:f>XLOOKUP(A40,'日期维表'!$A$2:$A$43,'日期维表'!$F$2:$F$43,0)</x:f>
        <x:v>4</x:v>
      </x:c>
      <x:c r="N40" s="10" t="str">
        <x:f>XLOOKUP(B40,'产品维表'!$A$2:$A$5,'产品维表'!$B$2:$B$5,"未映射")</x:f>
        <x:v>H1</x:v>
      </x:c>
      <x:c r="O40" s="10" t="n">
        <x:f>C40+D40-F40-G40</x:f>
        <x:v>0</x:v>
      </x:c>
    </x:row>
    <x:row r="41" ht="15" hidden="0" customHeight="1">
      <x:c r="A41" s="10" t="n">
        <x:v>202210</x:v>
      </x:c>
      <x:c r="B41" s="10" t="n">
        <x:v>202</x:v>
      </x:c>
      <x:c r="C41" s="10" t="n">
        <x:v>0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0" t="n">
        <x:v>0</x:v>
      </x:c>
      <x:c r="I41" s="10" t="n">
        <x:v>0</x:v>
      </x:c>
      <x:c r="J41" s="10" t="n">
        <x:v>84</x:v>
      </x:c>
      <x:c r="K41" s="10" t="n">
        <x:v>0</x:v>
      </x:c>
      <x:c r="L41" s="10" t="str">
        <x:v>健康</x:v>
      </x:c>
      <x:c r="M41" s="10" t="n">
        <x:f>XLOOKUP(A41,'日期维表'!$A$2:$A$43,'日期维表'!$F$2:$F$43,0)</x:f>
        <x:v>4</x:v>
      </x:c>
      <x:c r="N41" s="10" t="str">
        <x:f>XLOOKUP(B41,'产品维表'!$A$2:$A$5,'产品维表'!$B$2:$B$5,"未映射")</x:f>
        <x:v>H2</x:v>
      </x:c>
      <x:c r="O41" s="10" t="n">
        <x:f>C41+D41-F41-G41</x:f>
        <x:v>0</x:v>
      </x:c>
    </x:row>
    <x:row r="42" ht="15" hidden="0" customHeight="1">
      <x:c r="A42" s="10" t="n">
        <x:v>202211</x:v>
      </x:c>
      <x:c r="B42" s="10" t="n">
        <x:v>101</x:v>
      </x:c>
      <x:c r="C42" s="10" t="n">
        <x:v>65</x:v>
      </x:c>
      <x:c r="D42" s="10" t="n">
        <x:v>0</x:v>
      </x:c>
      <x:c r="E42" s="10" t="n">
        <x:v>0</x:v>
      </x:c>
      <x:c r="F42" s="10" t="n">
        <x:v>0</x:v>
      </x:c>
      <x:c r="G42" s="10" t="n">
        <x:v>65</x:v>
      </x:c>
      <x:c r="H42" s="10" t="n">
        <x:v>0</x:v>
      </x:c>
      <x:c r="I42" s="10" t="n">
        <x:v>118300</x:v>
      </x:c>
      <x:c r="J42" s="10" t="n">
        <x:v>176</x:v>
      </x:c>
      <x:c r="K42" s="10" t="n">
        <x:v>90</x:v>
      </x:c>
      <x:c r="L42" s="10" t="str">
        <x:v>偏高</x:v>
      </x:c>
      <x:c r="M42" s="10" t="n">
        <x:f>XLOOKUP(A42,'日期维表'!$A$2:$A$43,'日期维表'!$F$2:$F$43,0)</x:f>
        <x:v>4</x:v>
      </x:c>
      <x:c r="N42" s="10" t="str">
        <x:f>XLOOKUP(B42,'产品维表'!$A$2:$A$5,'产品维表'!$B$2:$B$5,"未映射")</x:f>
        <x:v>L1</x:v>
      </x:c>
      <x:c r="O42" s="10" t="n">
        <x:f>C42+D42-F42-G42</x:f>
        <x:v>0</x:v>
      </x:c>
    </x:row>
    <x:row r="43" ht="15" hidden="0" customHeight="1">
      <x:c r="A43" s="10" t="n">
        <x:v>202211</x:v>
      </x:c>
      <x:c r="B43" s="10" t="n">
        <x:v>102</x:v>
      </x:c>
      <x:c r="C43" s="10" t="n">
        <x:v>65</x:v>
      </x:c>
      <x:c r="D43" s="10" t="n">
        <x:v>0</x:v>
      </x:c>
      <x:c r="E43" s="10" t="n">
        <x:v>0</x:v>
      </x:c>
      <x:c r="F43" s="10" t="n">
        <x:v>0</x:v>
      </x:c>
      <x:c r="G43" s="10" t="n">
        <x:v>65</x:v>
      </x:c>
      <x:c r="H43" s="10" t="n">
        <x:v>0</x:v>
      </x:c>
      <x:c r="I43" s="10" t="n">
        <x:v>144950</x:v>
      </x:c>
      <x:c r="J43" s="10" t="n">
        <x:v>145</x:v>
      </x:c>
      <x:c r="K43" s="10" t="n">
        <x:v>90</x:v>
      </x:c>
      <x:c r="L43" s="10" t="str">
        <x:v>偏高</x:v>
      </x:c>
      <x:c r="M43" s="10" t="n">
        <x:f>XLOOKUP(A43,'日期维表'!$A$2:$A$43,'日期维表'!$F$2:$F$43,0)</x:f>
        <x:v>4</x:v>
      </x:c>
      <x:c r="N43" s="10" t="str">
        <x:f>XLOOKUP(B43,'产品维表'!$A$2:$A$5,'产品维表'!$B$2:$B$5,"未映射")</x:f>
        <x:v>L2</x:v>
      </x:c>
      <x:c r="O43" s="10" t="n">
        <x:f>C43+D43-F43-G43</x:f>
        <x:v>0</x:v>
      </x:c>
    </x:row>
    <x:row r="44" ht="15" hidden="0" customHeight="1">
      <x:c r="A44" s="10" t="n">
        <x:v>202211</x:v>
      </x:c>
      <x:c r="B44" s="10" t="n">
        <x:v>201</x:v>
      </x:c>
      <x:c r="C44" s="10" t="n">
        <x:v>0</x:v>
      </x:c>
      <x:c r="D44" s="10" t="n">
        <x:v>0</x:v>
      </x:c>
      <x:c r="E44" s="10" t="n">
        <x:v>0</x:v>
      </x:c>
      <x:c r="F44" s="10" t="n">
        <x:v>0</x:v>
      </x:c>
      <x:c r="G44" s="10" t="n">
        <x:v>0</x:v>
      </x:c>
      <x:c r="H44" s="10" t="n">
        <x:v>0</x:v>
      </x:c>
      <x:c r="I44" s="10" t="n">
        <x:v>0</x:v>
      </x:c>
      <x:c r="J44" s="10" t="n">
        <x:v>115</x:v>
      </x:c>
      <x:c r="K44" s="10" t="n">
        <x:v>0</x:v>
      </x:c>
      <x:c r="L44" s="10" t="str">
        <x:v>健康</x:v>
      </x:c>
      <x:c r="M44" s="10" t="n">
        <x:f>XLOOKUP(A44,'日期维表'!$A$2:$A$43,'日期维表'!$F$2:$F$43,0)</x:f>
        <x:v>4</x:v>
      </x:c>
      <x:c r="N44" s="10" t="str">
        <x:f>XLOOKUP(B44,'产品维表'!$A$2:$A$5,'产品维表'!$B$2:$B$5,"未映射")</x:f>
        <x:v>H1</x:v>
      </x:c>
      <x:c r="O44" s="10" t="n">
        <x:f>C44+D44-F44-G44</x:f>
        <x:v>0</x:v>
      </x:c>
    </x:row>
    <x:row r="45" ht="15" hidden="0" customHeight="1">
      <x:c r="A45" s="10" t="n">
        <x:v>202211</x:v>
      </x:c>
      <x:c r="B45" s="10" t="n">
        <x:v>202</x:v>
      </x:c>
      <x:c r="C45" s="10" t="n">
        <x:v>0</x:v>
      </x:c>
      <x:c r="D45" s="10" t="n">
        <x:v>0</x:v>
      </x:c>
      <x:c r="E45" s="10" t="n">
        <x:v>0</x:v>
      </x:c>
      <x:c r="F45" s="10" t="n">
        <x:v>0</x:v>
      </x:c>
      <x:c r="G45" s="10" t="n">
        <x:v>0</x:v>
      </x:c>
      <x:c r="H45" s="10" t="n">
        <x:v>0</x:v>
      </x:c>
      <x:c r="I45" s="10" t="n">
        <x:v>0</x:v>
      </x:c>
      <x:c r="J45" s="10" t="n">
        <x:v>84</x:v>
      </x:c>
      <x:c r="K45" s="10" t="n">
        <x:v>0</x:v>
      </x:c>
      <x:c r="L45" s="10" t="str">
        <x:v>健康</x:v>
      </x:c>
      <x:c r="M45" s="10" t="n">
        <x:f>XLOOKUP(A45,'日期维表'!$A$2:$A$43,'日期维表'!$F$2:$F$43,0)</x:f>
        <x:v>4</x:v>
      </x:c>
      <x:c r="N45" s="10" t="str">
        <x:f>XLOOKUP(B45,'产品维表'!$A$2:$A$5,'产品维表'!$B$2:$B$5,"未映射")</x:f>
        <x:v>H2</x:v>
      </x:c>
      <x:c r="O45" s="10" t="n">
        <x:f>C45+D45-F45-G45</x:f>
        <x:v>0</x:v>
      </x:c>
    </x:row>
    <x:row r="46" ht="15" hidden="0" customHeight="1">
      <x:c r="A46" s="10" t="n">
        <x:v>202212</x:v>
      </x:c>
      <x:c r="B46" s="10" t="n">
        <x:v>101</x:v>
      </x:c>
      <x:c r="C46" s="10" t="n">
        <x:v>65</x:v>
      </x:c>
      <x:c r="D46" s="10" t="n">
        <x:v>0</x:v>
      </x:c>
      <x:c r="E46" s="10" t="n">
        <x:v>0</x:v>
      </x:c>
      <x:c r="F46" s="10" t="n">
        <x:v>0</x:v>
      </x:c>
      <x:c r="G46" s="10" t="n">
        <x:v>65</x:v>
      </x:c>
      <x:c r="H46" s="10" t="n">
        <x:v>0</x:v>
      </x:c>
      <x:c r="I46" s="10" t="n">
        <x:v>118300</x:v>
      </x:c>
      <x:c r="J46" s="10" t="n">
        <x:v>176</x:v>
      </x:c>
      <x:c r="K46" s="10" t="n">
        <x:v>90</x:v>
      </x:c>
      <x:c r="L46" s="10" t="str">
        <x:v>偏高</x:v>
      </x:c>
      <x:c r="M46" s="10" t="n">
        <x:f>XLOOKUP(A46,'日期维表'!$A$2:$A$43,'日期维表'!$F$2:$F$43,0)</x:f>
        <x:v>4</x:v>
      </x:c>
      <x:c r="N46" s="10" t="str">
        <x:f>XLOOKUP(B46,'产品维表'!$A$2:$A$5,'产品维表'!$B$2:$B$5,"未映射")</x:f>
        <x:v>L1</x:v>
      </x:c>
      <x:c r="O46" s="10" t="n">
        <x:f>C46+D46-F46-G46</x:f>
        <x:v>0</x:v>
      </x:c>
    </x:row>
    <x:row r="47" ht="15" hidden="0" customHeight="1">
      <x:c r="A47" s="10" t="n">
        <x:v>202212</x:v>
      </x:c>
      <x:c r="B47" s="10" t="n">
        <x:v>102</x:v>
      </x:c>
      <x:c r="C47" s="10" t="n">
        <x:v>65</x:v>
      </x:c>
      <x:c r="D47" s="10" t="n">
        <x:v>0</x:v>
      </x:c>
      <x:c r="E47" s="10" t="n">
        <x:v>0</x:v>
      </x:c>
      <x:c r="F47" s="10" t="n">
        <x:v>0</x:v>
      </x:c>
      <x:c r="G47" s="10" t="n">
        <x:v>65</x:v>
      </x:c>
      <x:c r="H47" s="10" t="n">
        <x:v>0</x:v>
      </x:c>
      <x:c r="I47" s="10" t="n">
        <x:v>144950</x:v>
      </x:c>
      <x:c r="J47" s="10" t="n">
        <x:v>145</x:v>
      </x:c>
      <x:c r="K47" s="10" t="n">
        <x:v>90</x:v>
      </x:c>
      <x:c r="L47" s="10" t="str">
        <x:v>偏高</x:v>
      </x:c>
      <x:c r="M47" s="10" t="n">
        <x:f>XLOOKUP(A47,'日期维表'!$A$2:$A$43,'日期维表'!$F$2:$F$43,0)</x:f>
        <x:v>4</x:v>
      </x:c>
      <x:c r="N47" s="10" t="str">
        <x:f>XLOOKUP(B47,'产品维表'!$A$2:$A$5,'产品维表'!$B$2:$B$5,"未映射")</x:f>
        <x:v>L2</x:v>
      </x:c>
      <x:c r="O47" s="10" t="n">
        <x:f>C47+D47-F47-G47</x:f>
        <x:v>0</x:v>
      </x:c>
    </x:row>
    <x:row r="48" ht="15" hidden="0" customHeight="1">
      <x:c r="A48" s="10" t="n">
        <x:v>202212</x:v>
      </x:c>
      <x:c r="B48" s="10" t="n">
        <x:v>201</x:v>
      </x:c>
      <x:c r="C48" s="10" t="n">
        <x:v>0</x:v>
      </x:c>
      <x:c r="D48" s="10" t="n">
        <x:v>0</x:v>
      </x:c>
      <x:c r="E48" s="10" t="n">
        <x:v>0</x:v>
      </x:c>
      <x:c r="F48" s="10" t="n">
        <x:v>0</x:v>
      </x:c>
      <x:c r="G48" s="10" t="n">
        <x:v>0</x:v>
      </x:c>
      <x:c r="H48" s="10" t="n">
        <x:v>0</x:v>
      </x:c>
      <x:c r="I48" s="10" t="n">
        <x:v>0</x:v>
      </x:c>
      <x:c r="J48" s="10" t="n">
        <x:v>115</x:v>
      </x:c>
      <x:c r="K48" s="10" t="n">
        <x:v>0</x:v>
      </x:c>
      <x:c r="L48" s="10" t="str">
        <x:v>健康</x:v>
      </x:c>
      <x:c r="M48" s="10" t="n">
        <x:f>XLOOKUP(A48,'日期维表'!$A$2:$A$43,'日期维表'!$F$2:$F$43,0)</x:f>
        <x:v>4</x:v>
      </x:c>
      <x:c r="N48" s="10" t="str">
        <x:f>XLOOKUP(B48,'产品维表'!$A$2:$A$5,'产品维表'!$B$2:$B$5,"未映射")</x:f>
        <x:v>H1</x:v>
      </x:c>
      <x:c r="O48" s="10" t="n">
        <x:f>C48+D48-F48-G48</x:f>
        <x:v>0</x:v>
      </x:c>
    </x:row>
    <x:row r="49" ht="15" hidden="0" customHeight="1">
      <x:c r="A49" s="10" t="n">
        <x:v>202212</x:v>
      </x:c>
      <x:c r="B49" s="10" t="n">
        <x:v>202</x:v>
      </x:c>
      <x:c r="C49" s="10" t="n">
        <x:v>0</x:v>
      </x:c>
      <x:c r="D49" s="10" t="n">
        <x:v>0</x:v>
      </x:c>
      <x:c r="E49" s="10" t="n">
        <x:v>0</x:v>
      </x:c>
      <x:c r="F49" s="10" t="n">
        <x:v>0</x:v>
      </x:c>
      <x:c r="G49" s="10" t="n">
        <x:v>0</x:v>
      </x:c>
      <x:c r="H49" s="10" t="n">
        <x:v>0</x:v>
      </x:c>
      <x:c r="I49" s="10" t="n">
        <x:v>0</x:v>
      </x:c>
      <x:c r="J49" s="10" t="n">
        <x:v>84</x:v>
      </x:c>
      <x:c r="K49" s="10" t="n">
        <x:v>0</x:v>
      </x:c>
      <x:c r="L49" s="10" t="str">
        <x:v>健康</x:v>
      </x:c>
      <x:c r="M49" s="10" t="n">
        <x:f>XLOOKUP(A49,'日期维表'!$A$2:$A$43,'日期维表'!$F$2:$F$43,0)</x:f>
        <x:v>4</x:v>
      </x:c>
      <x:c r="N49" s="10" t="str">
        <x:f>XLOOKUP(B49,'产品维表'!$A$2:$A$5,'产品维表'!$B$2:$B$5,"未映射")</x:f>
        <x:v>H2</x:v>
      </x:c>
      <x:c r="O49" s="10" t="n">
        <x:f>C49+D49-F49-G49</x:f>
        <x:v>0</x:v>
      </x:c>
    </x:row>
    <x:row r="50" ht="15" hidden="0" customHeight="1">
      <x:c r="A50" s="10" t="n">
        <x:v>202301</x:v>
      </x:c>
      <x:c r="B50" s="10" t="n">
        <x:v>101</x:v>
      </x:c>
      <x:c r="C50" s="10" t="n">
        <x:v>65</x:v>
      </x:c>
      <x:c r="D50" s="10" t="n">
        <x:v>123</x:v>
      </x:c>
      <x:c r="E50" s="10" t="n">
        <x:v>126</x:v>
      </x:c>
      <x:c r="F50" s="10" t="n">
        <x:v>126</x:v>
      </x:c>
      <x:c r="G50" s="10" t="n">
        <x:v>62</x:v>
      </x:c>
      <x:c r="H50" s="10" t="n">
        <x:v>0</x:v>
      </x:c>
      <x:c r="I50" s="10" t="n">
        <x:v>112840</x:v>
      </x:c>
      <x:c r="J50" s="10" t="n">
        <x:v>176</x:v>
      </x:c>
      <x:c r="K50" s="10" t="n">
        <x:v>14.8</x:v>
      </x:c>
      <x:c r="L50" s="10" t="str">
        <x:v>健康</x:v>
      </x:c>
      <x:c r="M50" s="10" t="n">
        <x:f>XLOOKUP(A50,'日期维表'!$A$2:$A$43,'日期维表'!$F$2:$F$43,0)</x:f>
        <x:v>5</x:v>
      </x:c>
      <x:c r="N50" s="10" t="str">
        <x:f>XLOOKUP(B50,'产品维表'!$A$2:$A$5,'产品维表'!$B$2:$B$5,"未映射")</x:f>
        <x:v>L1</x:v>
      </x:c>
      <x:c r="O50" s="10" t="n">
        <x:f>C50+D50-F50-G50</x:f>
        <x:v>0</x:v>
      </x:c>
    </x:row>
    <x:row r="51" ht="15" hidden="0" customHeight="1">
      <x:c r="A51" s="10" t="n">
        <x:v>202301</x:v>
      </x:c>
      <x:c r="B51" s="10" t="n">
        <x:v>102</x:v>
      </x:c>
      <x:c r="C51" s="10" t="n">
        <x:v>65</x:v>
      </x:c>
      <x:c r="D51" s="10" t="n">
        <x:v>73</x:v>
      </x:c>
      <x:c r="E51" s="10" t="n">
        <x:v>74</x:v>
      </x:c>
      <x:c r="F51" s="10" t="n">
        <x:v>74</x:v>
      </x:c>
      <x:c r="G51" s="10" t="n">
        <x:v>64</x:v>
      </x:c>
      <x:c r="H51" s="10" t="n">
        <x:v>0</x:v>
      </x:c>
      <x:c r="I51" s="10" t="n">
        <x:v>142720</x:v>
      </x:c>
      <x:c r="J51" s="10" t="n">
        <x:v>145</x:v>
      </x:c>
      <x:c r="K51" s="10" t="n">
        <x:v>25.9</x:v>
      </x:c>
      <x:c r="L51" s="10" t="str">
        <x:v>健康</x:v>
      </x:c>
      <x:c r="M51" s="10" t="n">
        <x:f>XLOOKUP(A51,'日期维表'!$A$2:$A$43,'日期维表'!$F$2:$F$43,0)</x:f>
        <x:v>5</x:v>
      </x:c>
      <x:c r="N51" s="10" t="str">
        <x:f>XLOOKUP(B51,'产品维表'!$A$2:$A$5,'产品维表'!$B$2:$B$5,"未映射")</x:f>
        <x:v>L2</x:v>
      </x:c>
      <x:c r="O51" s="10" t="n">
        <x:f>C51+D51-F51-G51</x:f>
        <x:v>0</x:v>
      </x:c>
    </x:row>
    <x:row r="52" ht="15" hidden="0" customHeight="1">
      <x:c r="A52" s="10" t="n">
        <x:v>202301</x:v>
      </x:c>
      <x:c r="B52" s="10" t="n">
        <x:v>201</x:v>
      </x:c>
      <x:c r="C52" s="10" t="n">
        <x:v>0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115</x:v>
      </x:c>
      <x:c r="K52" s="10" t="n">
        <x:v>0</x:v>
      </x:c>
      <x:c r="L52" s="10" t="str">
        <x:v>健康</x:v>
      </x:c>
      <x:c r="M52" s="10" t="n">
        <x:f>XLOOKUP(A52,'日期维表'!$A$2:$A$43,'日期维表'!$F$2:$F$43,0)</x:f>
        <x:v>5</x:v>
      </x:c>
      <x:c r="N52" s="10" t="str">
        <x:f>XLOOKUP(B52,'产品维表'!$A$2:$A$5,'产品维表'!$B$2:$B$5,"未映射")</x:f>
        <x:v>H1</x:v>
      </x:c>
      <x:c r="O52" s="10" t="n">
        <x:f>C52+D52-F52-G52</x:f>
        <x:v>0</x:v>
      </x:c>
    </x:row>
    <x:row r="53" ht="15" hidden="0" customHeight="1">
      <x:c r="A53" s="10" t="n">
        <x:v>202301</x:v>
      </x:c>
      <x:c r="B53" s="10" t="n">
        <x:v>202</x:v>
      </x:c>
      <x:c r="C53" s="10" t="n">
        <x:v>0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84</x:v>
      </x:c>
      <x:c r="K53" s="10" t="n">
        <x:v>0</x:v>
      </x:c>
      <x:c r="L53" s="10" t="str">
        <x:v>健康</x:v>
      </x:c>
      <x:c r="M53" s="10" t="n">
        <x:f>XLOOKUP(A53,'日期维表'!$A$2:$A$43,'日期维表'!$F$2:$F$43,0)</x:f>
        <x:v>5</x:v>
      </x:c>
      <x:c r="N53" s="10" t="str">
        <x:f>XLOOKUP(B53,'产品维表'!$A$2:$A$5,'产品维表'!$B$2:$B$5,"未映射")</x:f>
        <x:v>H2</x:v>
      </x:c>
      <x:c r="O53" s="10" t="n">
        <x:f>C53+D53-F53-G53</x:f>
        <x:v>0</x:v>
      </x:c>
    </x:row>
    <x:row r="54" ht="15" hidden="0" customHeight="1">
      <x:c r="A54" s="10" t="n">
        <x:v>202302</x:v>
      </x:c>
      <x:c r="B54" s="10" t="n">
        <x:v>101</x:v>
      </x:c>
      <x:c r="C54" s="10" t="n">
        <x:v>62</x:v>
      </x:c>
      <x:c r="D54" s="10" t="n">
        <x:v>76</x:v>
      </x:c>
      <x:c r="E54" s="10" t="n">
        <x:v>74</x:v>
      </x:c>
      <x:c r="F54" s="10" t="n">
        <x:v>74</x:v>
      </x:c>
      <x:c r="G54" s="10" t="n">
        <x:v>64</x:v>
      </x:c>
      <x:c r="H54" s="10" t="n">
        <x:v>0</x:v>
      </x:c>
      <x:c r="I54" s="10" t="n">
        <x:v>116480</x:v>
      </x:c>
      <x:c r="J54" s="10" t="n">
        <x:v>176</x:v>
      </x:c>
      <x:c r="K54" s="10" t="n">
        <x:v>25.9</x:v>
      </x:c>
      <x:c r="L54" s="10" t="str">
        <x:v>健康</x:v>
      </x:c>
      <x:c r="M54" s="10" t="n">
        <x:f>XLOOKUP(A54,'日期维表'!$A$2:$A$43,'日期维表'!$F$2:$F$43,0)</x:f>
        <x:v>5</x:v>
      </x:c>
      <x:c r="N54" s="10" t="str">
        <x:f>XLOOKUP(B54,'产品维表'!$A$2:$A$5,'产品维表'!$B$2:$B$5,"未映射")</x:f>
        <x:v>L1</x:v>
      </x:c>
      <x:c r="O54" s="10" t="n">
        <x:f>C54+D54-F54-G54</x:f>
        <x:v>0</x:v>
      </x:c>
    </x:row>
    <x:row r="55" ht="15" hidden="0" customHeight="1">
      <x:c r="A55" s="10" t="n">
        <x:v>202302</x:v>
      </x:c>
      <x:c r="B55" s="10" t="n">
        <x:v>102</x:v>
      </x:c>
      <x:c r="C55" s="10" t="n">
        <x:v>64</x:v>
      </x:c>
      <x:c r="D55" s="10" t="n">
        <x:v>146</x:v>
      </x:c>
      <x:c r="E55" s="10" t="n">
        <x:v>148</x:v>
      </x:c>
      <x:c r="F55" s="10" t="n">
        <x:v>148</x:v>
      </x:c>
      <x:c r="G55" s="10" t="n">
        <x:v>62</x:v>
      </x:c>
      <x:c r="H55" s="10" t="n">
        <x:v>0</x:v>
      </x:c>
      <x:c r="I55" s="10" t="n">
        <x:v>138260</x:v>
      </x:c>
      <x:c r="J55" s="10" t="n">
        <x:v>145</x:v>
      </x:c>
      <x:c r="K55" s="10" t="n">
        <x:v>12.6</x:v>
      </x:c>
      <x:c r="L55" s="10" t="str">
        <x:v>健康</x:v>
      </x:c>
      <x:c r="M55" s="10" t="n">
        <x:f>XLOOKUP(A55,'日期维表'!$A$2:$A$43,'日期维表'!$F$2:$F$43,0)</x:f>
        <x:v>5</x:v>
      </x:c>
      <x:c r="N55" s="10" t="str">
        <x:f>XLOOKUP(B55,'产品维表'!$A$2:$A$5,'产品维表'!$B$2:$B$5,"未映射")</x:f>
        <x:v>L2</x:v>
      </x:c>
      <x:c r="O55" s="10" t="n">
        <x:f>C55+D55-F55-G55</x:f>
        <x:v>0</x:v>
      </x:c>
    </x:row>
    <x:row r="56" ht="15" hidden="0" customHeight="1">
      <x:c r="A56" s="10" t="n">
        <x:v>202302</x:v>
      </x:c>
      <x:c r="B56" s="10" t="n">
        <x:v>201</x:v>
      </x:c>
      <x:c r="C56" s="10" t="n">
        <x:v>0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0" t="n">
        <x:v>0</x:v>
      </x:c>
      <x:c r="I56" s="10" t="n">
        <x:v>0</x:v>
      </x:c>
      <x:c r="J56" s="10" t="n">
        <x:v>115</x:v>
      </x:c>
      <x:c r="K56" s="10" t="n">
        <x:v>0</x:v>
      </x:c>
      <x:c r="L56" s="10" t="str">
        <x:v>健康</x:v>
      </x:c>
      <x:c r="M56" s="10" t="n">
        <x:f>XLOOKUP(A56,'日期维表'!$A$2:$A$43,'日期维表'!$F$2:$F$43,0)</x:f>
        <x:v>5</x:v>
      </x:c>
      <x:c r="N56" s="10" t="str">
        <x:f>XLOOKUP(B56,'产品维表'!$A$2:$A$5,'产品维表'!$B$2:$B$5,"未映射")</x:f>
        <x:v>H1</x:v>
      </x:c>
      <x:c r="O56" s="10" t="n">
        <x:f>C56+D56-F56-G56</x:f>
        <x:v>0</x:v>
      </x:c>
    </x:row>
    <x:row r="57" ht="15" hidden="0" customHeight="1">
      <x:c r="A57" s="10" t="n">
        <x:v>202302</x:v>
      </x:c>
      <x:c r="B57" s="10" t="n">
        <x:v>202</x:v>
      </x:c>
      <x:c r="C57" s="10" t="n">
        <x:v>0</x:v>
      </x:c>
      <x:c r="D57" s="10" t="n">
        <x:v>0</x:v>
      </x:c>
      <x:c r="E57" s="10" t="n">
        <x:v>0</x:v>
      </x:c>
      <x:c r="F57" s="10" t="n">
        <x:v>0</x:v>
      </x:c>
      <x:c r="G57" s="10" t="n">
        <x:v>0</x:v>
      </x:c>
      <x:c r="H57" s="10" t="n">
        <x:v>0</x:v>
      </x:c>
      <x:c r="I57" s="10" t="n">
        <x:v>0</x:v>
      </x:c>
      <x:c r="J57" s="10" t="n">
        <x:v>84</x:v>
      </x:c>
      <x:c r="K57" s="10" t="n">
        <x:v>0</x:v>
      </x:c>
      <x:c r="L57" s="10" t="str">
        <x:v>健康</x:v>
      </x:c>
      <x:c r="M57" s="10" t="n">
        <x:f>XLOOKUP(A57,'日期维表'!$A$2:$A$43,'日期维表'!$F$2:$F$43,0)</x:f>
        <x:v>5</x:v>
      </x:c>
      <x:c r="N57" s="10" t="str">
        <x:f>XLOOKUP(B57,'产品维表'!$A$2:$A$5,'产品维表'!$B$2:$B$5,"未映射")</x:f>
        <x:v>H2</x:v>
      </x:c>
      <x:c r="O57" s="10" t="n">
        <x:f>C57+D57-F57-G57</x:f>
        <x:v>0</x:v>
      </x:c>
    </x:row>
    <x:row r="58" ht="15" hidden="0" customHeight="1">
      <x:c r="A58" s="10" t="n">
        <x:v>202303</x:v>
      </x:c>
      <x:c r="B58" s="10" t="n">
        <x:v>101</x:v>
      </x:c>
      <x:c r="C58" s="10" t="n">
        <x:v>64</x:v>
      </x:c>
      <x:c r="D58" s="10" t="n">
        <x:v>160</x:v>
      </x:c>
      <x:c r="E58" s="10" t="n">
        <x:v>162</x:v>
      </x:c>
      <x:c r="F58" s="10" t="n">
        <x:v>162</x:v>
      </x:c>
      <x:c r="G58" s="10" t="n">
        <x:v>62</x:v>
      </x:c>
      <x:c r="H58" s="10" t="n">
        <x:v>0</x:v>
      </x:c>
      <x:c r="I58" s="10" t="n">
        <x:v>112840</x:v>
      </x:c>
      <x:c r="J58" s="10" t="n">
        <x:v>176</x:v>
      </x:c>
      <x:c r="K58" s="10" t="n">
        <x:v>11.5</x:v>
      </x:c>
      <x:c r="L58" s="10" t="str">
        <x:v>健康</x:v>
      </x:c>
      <x:c r="M58" s="10" t="n">
        <x:f>XLOOKUP(A58,'日期维表'!$A$2:$A$43,'日期维表'!$F$2:$F$43,0)</x:f>
        <x:v>5</x:v>
      </x:c>
      <x:c r="N58" s="10" t="str">
        <x:f>XLOOKUP(B58,'产品维表'!$A$2:$A$5,'产品维表'!$B$2:$B$5,"未映射")</x:f>
        <x:v>L1</x:v>
      </x:c>
      <x:c r="O58" s="10" t="n">
        <x:f>C58+D58-F58-G58</x:f>
        <x:v>0</x:v>
      </x:c>
    </x:row>
    <x:row r="59" ht="15" hidden="0" customHeight="1">
      <x:c r="A59" s="10" t="n">
        <x:v>202303</x:v>
      </x:c>
      <x:c r="B59" s="10" t="n">
        <x:v>102</x:v>
      </x:c>
      <x:c r="C59" s="10" t="n">
        <x:v>62</x:v>
      </x:c>
      <x:c r="D59" s="10" t="n">
        <x:v>74</x:v>
      </x:c>
      <x:c r="E59" s="10" t="n">
        <x:v>72</x:v>
      </x:c>
      <x:c r="F59" s="10" t="n">
        <x:v>72</x:v>
      </x:c>
      <x:c r="G59" s="10" t="n">
        <x:v>64</x:v>
      </x:c>
      <x:c r="H59" s="10" t="n">
        <x:v>0</x:v>
      </x:c>
      <x:c r="I59" s="10" t="n">
        <x:v>142720</x:v>
      </x:c>
      <x:c r="J59" s="10" t="n">
        <x:v>145</x:v>
      </x:c>
      <x:c r="K59" s="10" t="n">
        <x:v>26.7</x:v>
      </x:c>
      <x:c r="L59" s="10" t="str">
        <x:v>健康</x:v>
      </x:c>
      <x:c r="M59" s="10" t="n">
        <x:f>XLOOKUP(A59,'日期维表'!$A$2:$A$43,'日期维表'!$F$2:$F$43,0)</x:f>
        <x:v>5</x:v>
      </x:c>
      <x:c r="N59" s="10" t="str">
        <x:f>XLOOKUP(B59,'产品维表'!$A$2:$A$5,'产品维表'!$B$2:$B$5,"未映射")</x:f>
        <x:v>L2</x:v>
      </x:c>
      <x:c r="O59" s="10" t="n">
        <x:f>C59+D59-F59-G59</x:f>
        <x:v>0</x:v>
      </x:c>
    </x:row>
    <x:row r="60" ht="15" hidden="0" customHeight="1">
      <x:c r="A60" s="10" t="n">
        <x:v>202303</x:v>
      </x:c>
      <x:c r="B60" s="10" t="n">
        <x:v>201</x:v>
      </x:c>
      <x:c r="C60" s="10" t="n">
        <x:v>0</x:v>
      </x:c>
      <x:c r="D60" s="10" t="n">
        <x:v>0</x:v>
      </x:c>
      <x:c r="E60" s="10" t="n">
        <x:v>0</x:v>
      </x:c>
      <x:c r="F60" s="10" t="n">
        <x:v>0</x:v>
      </x:c>
      <x:c r="G60" s="10" t="n">
        <x:v>0</x:v>
      </x:c>
      <x:c r="H60" s="10" t="n">
        <x:v>0</x:v>
      </x:c>
      <x:c r="I60" s="10" t="n">
        <x:v>0</x:v>
      </x:c>
      <x:c r="J60" s="10" t="n">
        <x:v>115</x:v>
      </x:c>
      <x:c r="K60" s="10" t="n">
        <x:v>0</x:v>
      </x:c>
      <x:c r="L60" s="10" t="str">
        <x:v>健康</x:v>
      </x:c>
      <x:c r="M60" s="10" t="n">
        <x:f>XLOOKUP(A60,'日期维表'!$A$2:$A$43,'日期维表'!$F$2:$F$43,0)</x:f>
        <x:v>5</x:v>
      </x:c>
      <x:c r="N60" s="10" t="str">
        <x:f>XLOOKUP(B60,'产品维表'!$A$2:$A$5,'产品维表'!$B$2:$B$5,"未映射")</x:f>
        <x:v>H1</x:v>
      </x:c>
      <x:c r="O60" s="10" t="n">
        <x:f>C60+D60-F60-G60</x:f>
        <x:v>0</x:v>
      </x:c>
    </x:row>
    <x:row r="61" ht="15" hidden="0" customHeight="1">
      <x:c r="A61" s="10" t="n">
        <x:v>202303</x:v>
      </x:c>
      <x:c r="B61" s="10" t="n">
        <x:v>202</x:v>
      </x:c>
      <x:c r="C61" s="10" t="n">
        <x:v>0</x:v>
      </x:c>
      <x:c r="D61" s="10" t="n">
        <x:v>0</x:v>
      </x:c>
      <x:c r="E61" s="10" t="n">
        <x:v>0</x:v>
      </x:c>
      <x:c r="F61" s="10" t="n">
        <x:v>0</x:v>
      </x:c>
      <x:c r="G61" s="10" t="n">
        <x:v>0</x:v>
      </x:c>
      <x:c r="H61" s="10" t="n">
        <x:v>0</x:v>
      </x:c>
      <x:c r="I61" s="10" t="n">
        <x:v>0</x:v>
      </x:c>
      <x:c r="J61" s="10" t="n">
        <x:v>84</x:v>
      </x:c>
      <x:c r="K61" s="10" t="n">
        <x:v>0</x:v>
      </x:c>
      <x:c r="L61" s="10" t="str">
        <x:v>健康</x:v>
      </x:c>
      <x:c r="M61" s="10" t="n">
        <x:f>XLOOKUP(A61,'日期维表'!$A$2:$A$43,'日期维表'!$F$2:$F$43,0)</x:f>
        <x:v>5</x:v>
      </x:c>
      <x:c r="N61" s="10" t="str">
        <x:f>XLOOKUP(B61,'产品维表'!$A$2:$A$5,'产品维表'!$B$2:$B$5,"未映射")</x:f>
        <x:v>H2</x:v>
      </x:c>
      <x:c r="O61" s="10" t="n">
        <x:f>C61+D61-F61-G61</x:f>
        <x:v>0</x:v>
      </x:c>
    </x:row>
    <x:row r="62" ht="15" hidden="0" customHeight="1">
      <x:c r="A62" s="10" t="n">
        <x:v>202304</x:v>
      </x:c>
      <x:c r="B62" s="10" t="n">
        <x:v>101</x:v>
      </x:c>
      <x:c r="C62" s="10" t="n">
        <x:v>62</x:v>
      </x:c>
      <x:c r="D62" s="10" t="n">
        <x:v>87</x:v>
      </x:c>
      <x:c r="E62" s="10" t="n">
        <x:v>86</x:v>
      </x:c>
      <x:c r="F62" s="10" t="n">
        <x:v>86</x:v>
      </x:c>
      <x:c r="G62" s="10" t="n">
        <x:v>63</x:v>
      </x:c>
      <x:c r="H62" s="10" t="n">
        <x:v>0</x:v>
      </x:c>
      <x:c r="I62" s="10" t="n">
        <x:v>114660</x:v>
      </x:c>
      <x:c r="J62" s="10" t="n">
        <x:v>176</x:v>
      </x:c>
      <x:c r="K62" s="10" t="n">
        <x:v>22</x:v>
      </x:c>
      <x:c r="L62" s="10" t="str">
        <x:v>健康</x:v>
      </x:c>
      <x:c r="M62" s="10" t="n">
        <x:f>XLOOKUP(A62,'日期维表'!$A$2:$A$43,'日期维表'!$F$2:$F$43,0)</x:f>
        <x:v>6</x:v>
      </x:c>
      <x:c r="N62" s="10" t="str">
        <x:f>XLOOKUP(B62,'产品维表'!$A$2:$A$5,'产品维表'!$B$2:$B$5,"未映射")</x:f>
        <x:v>L1</x:v>
      </x:c>
      <x:c r="O62" s="10" t="n">
        <x:f>C62+D62-F62-G62</x:f>
        <x:v>0</x:v>
      </x:c>
    </x:row>
    <x:row r="63" ht="15" hidden="0" customHeight="1">
      <x:c r="A63" s="10" t="n">
        <x:v>202304</x:v>
      </x:c>
      <x:c r="B63" s="10" t="n">
        <x:v>102</x:v>
      </x:c>
      <x:c r="C63" s="10" t="n">
        <x:v>64</x:v>
      </x:c>
      <x:c r="D63" s="10" t="n">
        <x:v>52</x:v>
      </x:c>
      <x:c r="E63" s="10" t="n">
        <x:v>52</x:v>
      </x:c>
      <x:c r="F63" s="10" t="n">
        <x:v>52</x:v>
      </x:c>
      <x:c r="G63" s="10" t="n">
        <x:v>64</x:v>
      </x:c>
      <x:c r="H63" s="10" t="n">
        <x:v>0</x:v>
      </x:c>
      <x:c r="I63" s="10" t="n">
        <x:v>142720</x:v>
      </x:c>
      <x:c r="J63" s="10" t="n">
        <x:v>145</x:v>
      </x:c>
      <x:c r="K63" s="10" t="n">
        <x:v>36.9</x:v>
      </x:c>
      <x:c r="L63" s="10" t="str">
        <x:v>健康</x:v>
      </x:c>
      <x:c r="M63" s="10" t="n">
        <x:f>XLOOKUP(A63,'日期维表'!$A$2:$A$43,'日期维表'!$F$2:$F$43,0)</x:f>
        <x:v>6</x:v>
      </x:c>
      <x:c r="N63" s="10" t="str">
        <x:f>XLOOKUP(B63,'产品维表'!$A$2:$A$5,'产品维表'!$B$2:$B$5,"未映射")</x:f>
        <x:v>L2</x:v>
      </x:c>
      <x:c r="O63" s="10" t="n">
        <x:f>C63+D63-F63-G63</x:f>
        <x:v>0</x:v>
      </x:c>
    </x:row>
    <x:row r="64" ht="15" hidden="0" customHeight="1">
      <x:c r="A64" s="10" t="n">
        <x:v>202304</x:v>
      </x:c>
      <x:c r="B64" s="10" t="n">
        <x:v>201</x:v>
      </x:c>
      <x:c r="C64" s="10" t="n">
        <x:v>0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0" t="n">
        <x:v>0</x:v>
      </x:c>
      <x:c r="I64" s="10" t="n">
        <x:v>0</x:v>
      </x:c>
      <x:c r="J64" s="10" t="n">
        <x:v>115</x:v>
      </x:c>
      <x:c r="K64" s="10" t="n">
        <x:v>0</x:v>
      </x:c>
      <x:c r="L64" s="10" t="str">
        <x:v>健康</x:v>
      </x:c>
      <x:c r="M64" s="10" t="n">
        <x:f>XLOOKUP(A64,'日期维表'!$A$2:$A$43,'日期维表'!$F$2:$F$43,0)</x:f>
        <x:v>6</x:v>
      </x:c>
      <x:c r="N64" s="10" t="str">
        <x:f>XLOOKUP(B64,'产品维表'!$A$2:$A$5,'产品维表'!$B$2:$B$5,"未映射")</x:f>
        <x:v>H1</x:v>
      </x:c>
      <x:c r="O64" s="10" t="n">
        <x:f>C64+D64-F64-G64</x:f>
        <x:v>0</x:v>
      </x:c>
    </x:row>
    <x:row r="65" ht="15" hidden="0" customHeight="1">
      <x:c r="A65" s="10" t="n">
        <x:v>202304</x:v>
      </x:c>
      <x:c r="B65" s="10" t="n">
        <x:v>202</x:v>
      </x:c>
      <x:c r="C65" s="10" t="n">
        <x:v>0</x:v>
      </x:c>
      <x:c r="D65" s="10" t="n">
        <x:v>0</x:v>
      </x:c>
      <x:c r="E65" s="10" t="n">
        <x:v>0</x:v>
      </x:c>
      <x:c r="F65" s="10" t="n">
        <x:v>0</x:v>
      </x:c>
      <x:c r="G65" s="10" t="n">
        <x:v>0</x:v>
      </x:c>
      <x:c r="H65" s="10" t="n">
        <x:v>0</x:v>
      </x:c>
      <x:c r="I65" s="10" t="n">
        <x:v>0</x:v>
      </x:c>
      <x:c r="J65" s="10" t="n">
        <x:v>84</x:v>
      </x:c>
      <x:c r="K65" s="10" t="n">
        <x:v>0</x:v>
      </x:c>
      <x:c r="L65" s="10" t="str">
        <x:v>健康</x:v>
      </x:c>
      <x:c r="M65" s="10" t="n">
        <x:f>XLOOKUP(A65,'日期维表'!$A$2:$A$43,'日期维表'!$F$2:$F$43,0)</x:f>
        <x:v>6</x:v>
      </x:c>
      <x:c r="N65" s="10" t="str">
        <x:f>XLOOKUP(B65,'产品维表'!$A$2:$A$5,'产品维表'!$B$2:$B$5,"未映射")</x:f>
        <x:v>H2</x:v>
      </x:c>
      <x:c r="O65" s="10" t="n">
        <x:f>C65+D65-F65-G65</x:f>
        <x:v>0</x:v>
      </x:c>
    </x:row>
    <x:row r="66" ht="15" hidden="0" customHeight="1">
      <x:c r="A66" s="10" t="n">
        <x:v>202305</x:v>
      </x:c>
      <x:c r="B66" s="10" t="n">
        <x:v>101</x:v>
      </x:c>
      <x:c r="C66" s="10" t="n">
        <x:v>63</x:v>
      </x:c>
      <x:c r="D66" s="10" t="n">
        <x:v>68</x:v>
      </x:c>
      <x:c r="E66" s="10" t="n">
        <x:v>67</x:v>
      </x:c>
      <x:c r="F66" s="10" t="n">
        <x:v>67</x:v>
      </x:c>
      <x:c r="G66" s="10" t="n">
        <x:v>64</x:v>
      </x:c>
      <x:c r="H66" s="10" t="n">
        <x:v>0</x:v>
      </x:c>
      <x:c r="I66" s="10" t="n">
        <x:v>116480</x:v>
      </x:c>
      <x:c r="J66" s="10" t="n">
        <x:v>176</x:v>
      </x:c>
      <x:c r="K66" s="10" t="n">
        <x:v>28.7</x:v>
      </x:c>
      <x:c r="L66" s="10" t="str">
        <x:v>健康</x:v>
      </x:c>
      <x:c r="M66" s="10" t="n">
        <x:f>XLOOKUP(A66,'日期维表'!$A$2:$A$43,'日期维表'!$F$2:$F$43,0)</x:f>
        <x:v>6</x:v>
      </x:c>
      <x:c r="N66" s="10" t="str">
        <x:f>XLOOKUP(B66,'产品维表'!$A$2:$A$5,'产品维表'!$B$2:$B$5,"未映射")</x:f>
        <x:v>L1</x:v>
      </x:c>
      <x:c r="O66" s="10" t="n">
        <x:f>C66+D66-F66-G66</x:f>
        <x:v>0</x:v>
      </x:c>
    </x:row>
    <x:row r="67" ht="15" hidden="0" customHeight="1">
      <x:c r="A67" s="10" t="n">
        <x:v>202305</x:v>
      </x:c>
      <x:c r="B67" s="10" t="n">
        <x:v>102</x:v>
      </x:c>
      <x:c r="C67" s="10" t="n">
        <x:v>64</x:v>
      </x:c>
      <x:c r="D67" s="10" t="n">
        <x:v>86</x:v>
      </x:c>
      <x:c r="E67" s="10" t="n">
        <x:v>87</x:v>
      </x:c>
      <x:c r="F67" s="10" t="n">
        <x:v>87</x:v>
      </x:c>
      <x:c r="G67" s="10" t="n">
        <x:v>63</x:v>
      </x:c>
      <x:c r="H67" s="10" t="n">
        <x:v>0</x:v>
      </x:c>
      <x:c r="I67" s="10" t="n">
        <x:v>140490</x:v>
      </x:c>
      <x:c r="J67" s="10" t="n">
        <x:v>145</x:v>
      </x:c>
      <x:c r="K67" s="10" t="n">
        <x:v>21.7</x:v>
      </x:c>
      <x:c r="L67" s="10" t="str">
        <x:v>健康</x:v>
      </x:c>
      <x:c r="M67" s="10" t="n">
        <x:f>XLOOKUP(A67,'日期维表'!$A$2:$A$43,'日期维表'!$F$2:$F$43,0)</x:f>
        <x:v>6</x:v>
      </x:c>
      <x:c r="N67" s="10" t="str">
        <x:f>XLOOKUP(B67,'产品维表'!$A$2:$A$5,'产品维表'!$B$2:$B$5,"未映射")</x:f>
        <x:v>L2</x:v>
      </x:c>
      <x:c r="O67" s="10" t="n">
        <x:f>C67+D67-F67-G67</x:f>
        <x:v>0</x:v>
      </x:c>
    </x:row>
    <x:row r="68" ht="15" hidden="0" customHeight="1">
      <x:c r="A68" s="10" t="n">
        <x:v>202305</x:v>
      </x:c>
      <x:c r="B68" s="10" t="n">
        <x:v>201</x:v>
      </x:c>
      <x:c r="C68" s="10" t="n">
        <x:v>0</x:v>
      </x:c>
      <x:c r="D68" s="10" t="n">
        <x:v>0</x:v>
      </x:c>
      <x:c r="E68" s="10" t="n">
        <x:v>0</x:v>
      </x:c>
      <x:c r="F68" s="10" t="n">
        <x:v>0</x:v>
      </x:c>
      <x:c r="G68" s="10" t="n">
        <x:v>0</x:v>
      </x:c>
      <x:c r="H68" s="10" t="n">
        <x:v>0</x:v>
      </x:c>
      <x:c r="I68" s="10" t="n">
        <x:v>0</x:v>
      </x:c>
      <x:c r="J68" s="10" t="n">
        <x:v>115</x:v>
      </x:c>
      <x:c r="K68" s="10" t="n">
        <x:v>0</x:v>
      </x:c>
      <x:c r="L68" s="10" t="str">
        <x:v>健康</x:v>
      </x:c>
      <x:c r="M68" s="10" t="n">
        <x:f>XLOOKUP(A68,'日期维表'!$A$2:$A$43,'日期维表'!$F$2:$F$43,0)</x:f>
        <x:v>6</x:v>
      </x:c>
      <x:c r="N68" s="10" t="str">
        <x:f>XLOOKUP(B68,'产品维表'!$A$2:$A$5,'产品维表'!$B$2:$B$5,"未映射")</x:f>
        <x:v>H1</x:v>
      </x:c>
      <x:c r="O68" s="10" t="n">
        <x:f>C68+D68-F68-G68</x:f>
        <x:v>0</x:v>
      </x:c>
    </x:row>
    <x:row r="69" ht="15" hidden="0" customHeight="1">
      <x:c r="A69" s="10" t="n">
        <x:v>202305</x:v>
      </x:c>
      <x:c r="B69" s="10" t="n">
        <x:v>202</x:v>
      </x:c>
      <x:c r="C69" s="10" t="n">
        <x:v>0</x:v>
      </x:c>
      <x:c r="D69" s="10" t="n">
        <x:v>0</x:v>
      </x:c>
      <x:c r="E69" s="10" t="n">
        <x:v>0</x:v>
      </x:c>
      <x:c r="F69" s="10" t="n">
        <x:v>0</x:v>
      </x:c>
      <x:c r="G69" s="10" t="n">
        <x:v>0</x:v>
      </x:c>
      <x:c r="H69" s="10" t="n">
        <x:v>0</x:v>
      </x:c>
      <x:c r="I69" s="10" t="n">
        <x:v>0</x:v>
      </x:c>
      <x:c r="J69" s="10" t="n">
        <x:v>84</x:v>
      </x:c>
      <x:c r="K69" s="10" t="n">
        <x:v>0</x:v>
      </x:c>
      <x:c r="L69" s="10" t="str">
        <x:v>健康</x:v>
      </x:c>
      <x:c r="M69" s="10" t="n">
        <x:f>XLOOKUP(A69,'日期维表'!$A$2:$A$43,'日期维表'!$F$2:$F$43,0)</x:f>
        <x:v>6</x:v>
      </x:c>
      <x:c r="N69" s="10" t="str">
        <x:f>XLOOKUP(B69,'产品维表'!$A$2:$A$5,'产品维表'!$B$2:$B$5,"未映射")</x:f>
        <x:v>H2</x:v>
      </x:c>
      <x:c r="O69" s="10" t="n">
        <x:f>C69+D69-F69-G69</x:f>
        <x:v>0</x:v>
      </x:c>
    </x:row>
    <x:row r="70" ht="15" hidden="0" customHeight="1">
      <x:c r="A70" s="10" t="n">
        <x:v>202306</x:v>
      </x:c>
      <x:c r="B70" s="10" t="n">
        <x:v>101</x:v>
      </x:c>
      <x:c r="C70" s="10" t="n">
        <x:v>64</x:v>
      </x:c>
      <x:c r="D70" s="10" t="n">
        <x:v>128</x:v>
      </x:c>
      <x:c r="E70" s="10" t="n">
        <x:v>129</x:v>
      </x:c>
      <x:c r="F70" s="10" t="n">
        <x:v>129</x:v>
      </x:c>
      <x:c r="G70" s="10" t="n">
        <x:v>63</x:v>
      </x:c>
      <x:c r="H70" s="10" t="n">
        <x:v>0</x:v>
      </x:c>
      <x:c r="I70" s="10" t="n">
        <x:v>114660</x:v>
      </x:c>
      <x:c r="J70" s="10" t="n">
        <x:v>176</x:v>
      </x:c>
      <x:c r="K70" s="10" t="n">
        <x:v>14.7</x:v>
      </x:c>
      <x:c r="L70" s="10" t="str">
        <x:v>健康</x:v>
      </x:c>
      <x:c r="M70" s="10" t="n">
        <x:f>XLOOKUP(A70,'日期维表'!$A$2:$A$43,'日期维表'!$F$2:$F$43,0)</x:f>
        <x:v>6</x:v>
      </x:c>
      <x:c r="N70" s="10" t="str">
        <x:f>XLOOKUP(B70,'产品维表'!$A$2:$A$5,'产品维表'!$B$2:$B$5,"未映射")</x:f>
        <x:v>L1</x:v>
      </x:c>
      <x:c r="O70" s="10" t="n">
        <x:f>C70+D70-F70-G70</x:f>
        <x:v>0</x:v>
      </x:c>
    </x:row>
    <x:row r="71" ht="15" hidden="0" customHeight="1">
      <x:c r="A71" s="10" t="n">
        <x:v>202306</x:v>
      </x:c>
      <x:c r="B71" s="10" t="n">
        <x:v>102</x:v>
      </x:c>
      <x:c r="C71" s="10" t="n">
        <x:v>63</x:v>
      </x:c>
      <x:c r="D71" s="10" t="n">
        <x:v>51</x:v>
      </x:c>
      <x:c r="E71" s="10" t="n">
        <x:v>50</x:v>
      </x:c>
      <x:c r="F71" s="10" t="n">
        <x:v>50</x:v>
      </x:c>
      <x:c r="G71" s="10" t="n">
        <x:v>64</x:v>
      </x:c>
      <x:c r="H71" s="10" t="n">
        <x:v>0</x:v>
      </x:c>
      <x:c r="I71" s="10" t="n">
        <x:v>142720</x:v>
      </x:c>
      <x:c r="J71" s="10" t="n">
        <x:v>145</x:v>
      </x:c>
      <x:c r="K71" s="10" t="n">
        <x:v>38.4</x:v>
      </x:c>
      <x:c r="L71" s="10" t="str">
        <x:v>健康</x:v>
      </x:c>
      <x:c r="M71" s="10" t="n">
        <x:f>XLOOKUP(A71,'日期维表'!$A$2:$A$43,'日期维表'!$F$2:$F$43,0)</x:f>
        <x:v>6</x:v>
      </x:c>
      <x:c r="N71" s="10" t="str">
        <x:f>XLOOKUP(B71,'产品维表'!$A$2:$A$5,'产品维表'!$B$2:$B$5,"未映射")</x:f>
        <x:v>L2</x:v>
      </x:c>
      <x:c r="O71" s="10" t="n">
        <x:f>C71+D71-F71-G71</x:f>
        <x:v>0</x:v>
      </x:c>
    </x:row>
    <x:row r="72" ht="15" hidden="0" customHeight="1">
      <x:c r="A72" s="10" t="n">
        <x:v>202306</x:v>
      </x:c>
      <x:c r="B72" s="10" t="n">
        <x:v>201</x:v>
      </x:c>
      <x:c r="C72" s="10" t="n">
        <x:v>0</x:v>
      </x:c>
      <x:c r="D72" s="10" t="n">
        <x:v>0</x:v>
      </x:c>
      <x:c r="E72" s="10" t="n">
        <x:v>0</x:v>
      </x:c>
      <x:c r="F72" s="10" t="n">
        <x:v>0</x:v>
      </x:c>
      <x:c r="G72" s="10" t="n">
        <x:v>0</x:v>
      </x:c>
      <x:c r="H72" s="10" t="n">
        <x:v>0</x:v>
      </x:c>
      <x:c r="I72" s="10" t="n">
        <x:v>0</x:v>
      </x:c>
      <x:c r="J72" s="10" t="n">
        <x:v>115</x:v>
      </x:c>
      <x:c r="K72" s="10" t="n">
        <x:v>0</x:v>
      </x:c>
      <x:c r="L72" s="10" t="str">
        <x:v>健康</x:v>
      </x:c>
      <x:c r="M72" s="10" t="n">
        <x:f>XLOOKUP(A72,'日期维表'!$A$2:$A$43,'日期维表'!$F$2:$F$43,0)</x:f>
        <x:v>6</x:v>
      </x:c>
      <x:c r="N72" s="10" t="str">
        <x:f>XLOOKUP(B72,'产品维表'!$A$2:$A$5,'产品维表'!$B$2:$B$5,"未映射")</x:f>
        <x:v>H1</x:v>
      </x:c>
      <x:c r="O72" s="10" t="n">
        <x:f>C72+D72-F72-G72</x:f>
        <x:v>0</x:v>
      </x:c>
    </x:row>
    <x:row r="73" ht="15" hidden="0" customHeight="1">
      <x:c r="A73" s="10" t="n">
        <x:v>202306</x:v>
      </x:c>
      <x:c r="B73" s="10" t="n">
        <x:v>202</x:v>
      </x:c>
      <x:c r="C73" s="10" t="n">
        <x:v>0</x:v>
      </x:c>
      <x:c r="D73" s="10" t="n">
        <x:v>0</x:v>
      </x:c>
      <x:c r="E73" s="10" t="n">
        <x:v>0</x:v>
      </x:c>
      <x:c r="F73" s="10" t="n">
        <x:v>0</x:v>
      </x:c>
      <x:c r="G73" s="10" t="n">
        <x:v>0</x:v>
      </x:c>
      <x:c r="H73" s="10" t="n">
        <x:v>0</x:v>
      </x:c>
      <x:c r="I73" s="10" t="n">
        <x:v>0</x:v>
      </x:c>
      <x:c r="J73" s="10" t="n">
        <x:v>84</x:v>
      </x:c>
      <x:c r="K73" s="10" t="n">
        <x:v>0</x:v>
      </x:c>
      <x:c r="L73" s="10" t="str">
        <x:v>健康</x:v>
      </x:c>
      <x:c r="M73" s="10" t="n">
        <x:f>XLOOKUP(A73,'日期维表'!$A$2:$A$43,'日期维表'!$F$2:$F$43,0)</x:f>
        <x:v>6</x:v>
      </x:c>
      <x:c r="N73" s="10" t="str">
        <x:f>XLOOKUP(B73,'产品维表'!$A$2:$A$5,'产品维表'!$B$2:$B$5,"未映射")</x:f>
        <x:v>H2</x:v>
      </x:c>
      <x:c r="O73" s="10" t="n">
        <x:f>C73+D73-F73-G73</x:f>
        <x:v>0</x:v>
      </x:c>
    </x:row>
    <x:row r="74" ht="15" hidden="0" customHeight="1">
      <x:c r="A74" s="10" t="n">
        <x:v>202307</x:v>
      </x:c>
      <x:c r="B74" s="10" t="n">
        <x:v>101</x:v>
      </x:c>
      <x:c r="C74" s="10" t="n">
        <x:v>63</x:v>
      </x:c>
      <x:c r="D74" s="10" t="n">
        <x:v>2</x:v>
      </x:c>
      <x:c r="E74" s="10" t="n">
        <x:v>0</x:v>
      </x:c>
      <x:c r="F74" s="10" t="n">
        <x:v>0</x:v>
      </x:c>
      <x:c r="G74" s="10" t="n">
        <x:v>65</x:v>
      </x:c>
      <x:c r="H74" s="10" t="n">
        <x:v>0</x:v>
      </x:c>
      <x:c r="I74" s="10" t="n">
        <x:v>118300</x:v>
      </x:c>
      <x:c r="J74" s="10" t="n">
        <x:v>264</x:v>
      </x:c>
      <x:c r="K74" s="10" t="n">
        <x:v>90</x:v>
      </x:c>
      <x:c r="L74" s="10" t="str">
        <x:v>偏高</x:v>
      </x:c>
      <x:c r="M74" s="10" t="n">
        <x:f>XLOOKUP(A74,'日期维表'!$A$2:$A$43,'日期维表'!$F$2:$F$43,0)</x:f>
        <x:v>7</x:v>
      </x:c>
      <x:c r="N74" s="10" t="str">
        <x:f>XLOOKUP(B74,'产品维表'!$A$2:$A$5,'产品维表'!$B$2:$B$5,"未映射")</x:f>
        <x:v>L1</x:v>
      </x:c>
      <x:c r="O74" s="10" t="n">
        <x:f>C74+D74-F74-G74</x:f>
        <x:v>0</x:v>
      </x:c>
    </x:row>
    <x:row r="75" ht="15" hidden="0" customHeight="1">
      <x:c r="A75" s="10" t="n">
        <x:v>202307</x:v>
      </x:c>
      <x:c r="B75" s="10" t="n">
        <x:v>102</x:v>
      </x:c>
      <x:c r="C75" s="10" t="n">
        <x:v>64</x:v>
      </x:c>
      <x:c r="D75" s="10" t="n">
        <x:v>1</x:v>
      </x:c>
      <x:c r="E75" s="10" t="n">
        <x:v>0</x:v>
      </x:c>
      <x:c r="F75" s="10" t="n">
        <x:v>0</x:v>
      </x:c>
      <x:c r="G75" s="10" t="n">
        <x:v>65</x:v>
      </x:c>
      <x:c r="H75" s="10" t="n">
        <x:v>0</x:v>
      </x:c>
      <x:c r="I75" s="10" t="n">
        <x:v>144950</x:v>
      </x:c>
      <x:c r="J75" s="10" t="n">
        <x:v>218</x:v>
      </x:c>
      <x:c r="K75" s="10" t="n">
        <x:v>90</x:v>
      </x:c>
      <x:c r="L75" s="10" t="str">
        <x:v>偏高</x:v>
      </x:c>
      <x:c r="M75" s="10" t="n">
        <x:f>XLOOKUP(A75,'日期维表'!$A$2:$A$43,'日期维表'!$F$2:$F$43,0)</x:f>
        <x:v>7</x:v>
      </x:c>
      <x:c r="N75" s="10" t="str">
        <x:f>XLOOKUP(B75,'产品维表'!$A$2:$A$5,'产品维表'!$B$2:$B$5,"未映射")</x:f>
        <x:v>L2</x:v>
      </x:c>
      <x:c r="O75" s="10" t="n">
        <x:f>C75+D75-F75-G75</x:f>
        <x:v>0</x:v>
      </x:c>
    </x:row>
    <x:row r="76" ht="15" hidden="0" customHeight="1">
      <x:c r="A76" s="10" t="n">
        <x:v>202307</x:v>
      </x:c>
      <x:c r="B76" s="10" t="n">
        <x:v>201</x:v>
      </x:c>
      <x:c r="C76" s="10" t="n">
        <x:v>0</x:v>
      </x:c>
      <x:c r="D76" s="10" t="n">
        <x:v>0</x:v>
      </x:c>
      <x:c r="E76" s="10" t="n">
        <x:v>0</x:v>
      </x:c>
      <x:c r="F76" s="10" t="n">
        <x:v>0</x:v>
      </x:c>
      <x:c r="G76" s="10" t="n">
        <x:v>0</x:v>
      </x:c>
      <x:c r="H76" s="10" t="n">
        <x:v>0</x:v>
      </x:c>
      <x:c r="I76" s="10" t="n">
        <x:v>0</x:v>
      </x:c>
      <x:c r="J76" s="10" t="n">
        <x:v>172</x:v>
      </x:c>
      <x:c r="K76" s="10" t="n">
        <x:v>0</x:v>
      </x:c>
      <x:c r="L76" s="10" t="str">
        <x:v>健康</x:v>
      </x:c>
      <x:c r="M76" s="10" t="n">
        <x:f>XLOOKUP(A76,'日期维表'!$A$2:$A$43,'日期维表'!$F$2:$F$43,0)</x:f>
        <x:v>7</x:v>
      </x:c>
      <x:c r="N76" s="10" t="str">
        <x:f>XLOOKUP(B76,'产品维表'!$A$2:$A$5,'产品维表'!$B$2:$B$5,"未映射")</x:f>
        <x:v>H1</x:v>
      </x:c>
      <x:c r="O76" s="10" t="n">
        <x:f>C76+D76-F76-G76</x:f>
        <x:v>0</x:v>
      </x:c>
    </x:row>
    <x:row r="77" ht="15" hidden="0" customHeight="1">
      <x:c r="A77" s="10" t="n">
        <x:v>202307</x:v>
      </x:c>
      <x:c r="B77" s="10" t="n">
        <x:v>202</x:v>
      </x:c>
      <x:c r="C77" s="10" t="n">
        <x:v>0</x:v>
      </x:c>
      <x:c r="D77" s="10" t="n">
        <x:v>0</x:v>
      </x:c>
      <x:c r="E77" s="10" t="n">
        <x:v>0</x:v>
      </x:c>
      <x:c r="F77" s="10" t="n">
        <x:v>0</x:v>
      </x:c>
      <x:c r="G77" s="10" t="n">
        <x:v>0</x:v>
      </x:c>
      <x:c r="H77" s="10" t="n">
        <x:v>0</x:v>
      </x:c>
      <x:c r="I77" s="10" t="n">
        <x:v>0</x:v>
      </x:c>
      <x:c r="J77" s="10" t="n">
        <x:v>126</x:v>
      </x:c>
      <x:c r="K77" s="10" t="n">
        <x:v>0</x:v>
      </x:c>
      <x:c r="L77" s="10" t="str">
        <x:v>健康</x:v>
      </x:c>
      <x:c r="M77" s="10" t="n">
        <x:f>XLOOKUP(A77,'日期维表'!$A$2:$A$43,'日期维表'!$F$2:$F$43,0)</x:f>
        <x:v>7</x:v>
      </x:c>
      <x:c r="N77" s="10" t="str">
        <x:f>XLOOKUP(B77,'产品维表'!$A$2:$A$5,'产品维表'!$B$2:$B$5,"未映射")</x:f>
        <x:v>H2</x:v>
      </x:c>
      <x:c r="O77" s="10" t="n">
        <x:f>C77+D77-F77-G77</x:f>
        <x:v>0</x:v>
      </x:c>
    </x:row>
    <x:row r="78" ht="15" hidden="0" customHeight="1">
      <x:c r="A78" s="10" t="n">
        <x:v>202308</x:v>
      </x:c>
      <x:c r="B78" s="10" t="n">
        <x:v>101</x:v>
      </x:c>
      <x:c r="C78" s="10" t="n">
        <x:v>65</x:v>
      </x:c>
      <x:c r="D78" s="10" t="n">
        <x:v>0</x:v>
      </x:c>
      <x:c r="E78" s="10" t="n">
        <x:v>0</x:v>
      </x:c>
      <x:c r="F78" s="10" t="n">
        <x:v>0</x:v>
      </x:c>
      <x:c r="G78" s="10" t="n">
        <x:v>65</x:v>
      </x:c>
      <x:c r="H78" s="10" t="n">
        <x:v>0</x:v>
      </x:c>
      <x:c r="I78" s="10" t="n">
        <x:v>118300</x:v>
      </x:c>
      <x:c r="J78" s="10" t="n">
        <x:v>264</x:v>
      </x:c>
      <x:c r="K78" s="10" t="n">
        <x:v>90</x:v>
      </x:c>
      <x:c r="L78" s="10" t="str">
        <x:v>偏高</x:v>
      </x:c>
      <x:c r="M78" s="10" t="n">
        <x:f>XLOOKUP(A78,'日期维表'!$A$2:$A$43,'日期维表'!$F$2:$F$43,0)</x:f>
        <x:v>7</x:v>
      </x:c>
      <x:c r="N78" s="10" t="str">
        <x:f>XLOOKUP(B78,'产品维表'!$A$2:$A$5,'产品维表'!$B$2:$B$5,"未映射")</x:f>
        <x:v>L1</x:v>
      </x:c>
      <x:c r="O78" s="10" t="n">
        <x:f>C78+D78-F78-G78</x:f>
        <x:v>0</x:v>
      </x:c>
    </x:row>
    <x:row r="79" ht="15" hidden="0" customHeight="1">
      <x:c r="A79" s="10" t="n">
        <x:v>202308</x:v>
      </x:c>
      <x:c r="B79" s="10" t="n">
        <x:v>102</x:v>
      </x:c>
      <x:c r="C79" s="10" t="n">
        <x:v>65</x:v>
      </x:c>
      <x:c r="D79" s="10" t="n">
        <x:v>0</x:v>
      </x:c>
      <x:c r="E79" s="10" t="n">
        <x:v>0</x:v>
      </x:c>
      <x:c r="F79" s="10" t="n">
        <x:v>0</x:v>
      </x:c>
      <x:c r="G79" s="10" t="n">
        <x:v>65</x:v>
      </x:c>
      <x:c r="H79" s="10" t="n">
        <x:v>0</x:v>
      </x:c>
      <x:c r="I79" s="10" t="n">
        <x:v>144950</x:v>
      </x:c>
      <x:c r="J79" s="10" t="n">
        <x:v>218</x:v>
      </x:c>
      <x:c r="K79" s="10" t="n">
        <x:v>90</x:v>
      </x:c>
      <x:c r="L79" s="10" t="str">
        <x:v>偏高</x:v>
      </x:c>
      <x:c r="M79" s="10" t="n">
        <x:f>XLOOKUP(A79,'日期维表'!$A$2:$A$43,'日期维表'!$F$2:$F$43,0)</x:f>
        <x:v>7</x:v>
      </x:c>
      <x:c r="N79" s="10" t="str">
        <x:f>XLOOKUP(B79,'产品维表'!$A$2:$A$5,'产品维表'!$B$2:$B$5,"未映射")</x:f>
        <x:v>L2</x:v>
      </x:c>
      <x:c r="O79" s="10" t="n">
        <x:f>C79+D79-F79-G79</x:f>
        <x:v>0</x:v>
      </x:c>
    </x:row>
    <x:row r="80" ht="15" hidden="0" customHeight="1">
      <x:c r="A80" s="10" t="n">
        <x:v>202308</x:v>
      </x:c>
      <x:c r="B80" s="10" t="n">
        <x:v>201</x:v>
      </x:c>
      <x:c r="C80" s="10" t="n">
        <x:v>0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0" t="n">
        <x:v>0</x:v>
      </x:c>
      <x:c r="I80" s="10" t="n">
        <x:v>0</x:v>
      </x:c>
      <x:c r="J80" s="10" t="n">
        <x:v>172</x:v>
      </x:c>
      <x:c r="K80" s="10" t="n">
        <x:v>0</x:v>
      </x:c>
      <x:c r="L80" s="10" t="str">
        <x:v>健康</x:v>
      </x:c>
      <x:c r="M80" s="10" t="n">
        <x:f>XLOOKUP(A80,'日期维表'!$A$2:$A$43,'日期维表'!$F$2:$F$43,0)</x:f>
        <x:v>7</x:v>
      </x:c>
      <x:c r="N80" s="10" t="str">
        <x:f>XLOOKUP(B80,'产品维表'!$A$2:$A$5,'产品维表'!$B$2:$B$5,"未映射")</x:f>
        <x:v>H1</x:v>
      </x:c>
      <x:c r="O80" s="10" t="n">
        <x:f>C80+D80-F80-G80</x:f>
        <x:v>0</x:v>
      </x:c>
    </x:row>
    <x:row r="81" ht="15" hidden="0" customHeight="1">
      <x:c r="A81" s="10" t="n">
        <x:v>202308</x:v>
      </x:c>
      <x:c r="B81" s="10" t="n">
        <x:v>202</x:v>
      </x:c>
      <x:c r="C81" s="10" t="n">
        <x:v>0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0</x:v>
      </x:c>
      <x:c r="I81" s="10" t="n">
        <x:v>0</x:v>
      </x:c>
      <x:c r="J81" s="10" t="n">
        <x:v>126</x:v>
      </x:c>
      <x:c r="K81" s="10" t="n">
        <x:v>0</x:v>
      </x:c>
      <x:c r="L81" s="10" t="str">
        <x:v>健康</x:v>
      </x:c>
      <x:c r="M81" s="10" t="n">
        <x:f>XLOOKUP(A81,'日期维表'!$A$2:$A$43,'日期维表'!$F$2:$F$43,0)</x:f>
        <x:v>7</x:v>
      </x:c>
      <x:c r="N81" s="10" t="str">
        <x:f>XLOOKUP(B81,'产品维表'!$A$2:$A$5,'产品维表'!$B$2:$B$5,"未映射")</x:f>
        <x:v>H2</x:v>
      </x:c>
      <x:c r="O81" s="10" t="n">
        <x:f>C81+D81-F81-G81</x:f>
        <x:v>0</x:v>
      </x:c>
    </x:row>
    <x:row r="82" ht="15" hidden="0" customHeight="1">
      <x:c r="A82" s="10" t="n">
        <x:v>202309</x:v>
      </x:c>
      <x:c r="B82" s="10" t="n">
        <x:v>101</x:v>
      </x:c>
      <x:c r="C82" s="10" t="n">
        <x:v>65</x:v>
      </x:c>
      <x:c r="D82" s="10" t="n">
        <x:v>0</x:v>
      </x:c>
      <x:c r="E82" s="10" t="n">
        <x:v>0</x:v>
      </x:c>
      <x:c r="F82" s="10" t="n">
        <x:v>0</x:v>
      </x:c>
      <x:c r="G82" s="10" t="n">
        <x:v>65</x:v>
      </x:c>
      <x:c r="H82" s="10" t="n">
        <x:v>0</x:v>
      </x:c>
      <x:c r="I82" s="10" t="n">
        <x:v>118300</x:v>
      </x:c>
      <x:c r="J82" s="10" t="n">
        <x:v>264</x:v>
      </x:c>
      <x:c r="K82" s="10" t="n">
        <x:v>90</x:v>
      </x:c>
      <x:c r="L82" s="10" t="str">
        <x:v>偏高</x:v>
      </x:c>
      <x:c r="M82" s="10" t="n">
        <x:f>XLOOKUP(A82,'日期维表'!$A$2:$A$43,'日期维表'!$F$2:$F$43,0)</x:f>
        <x:v>7</x:v>
      </x:c>
      <x:c r="N82" s="10" t="str">
        <x:f>XLOOKUP(B82,'产品维表'!$A$2:$A$5,'产品维表'!$B$2:$B$5,"未映射")</x:f>
        <x:v>L1</x:v>
      </x:c>
      <x:c r="O82" s="10" t="n">
        <x:f>C82+D82-F82-G82</x:f>
        <x:v>0</x:v>
      </x:c>
    </x:row>
    <x:row r="83" ht="15" hidden="0" customHeight="1">
      <x:c r="A83" s="10" t="n">
        <x:v>202309</x:v>
      </x:c>
      <x:c r="B83" s="10" t="n">
        <x:v>102</x:v>
      </x:c>
      <x:c r="C83" s="10" t="n">
        <x:v>65</x:v>
      </x:c>
      <x:c r="D83" s="10" t="n">
        <x:v>0</x:v>
      </x:c>
      <x:c r="E83" s="10" t="n">
        <x:v>0</x:v>
      </x:c>
      <x:c r="F83" s="10" t="n">
        <x:v>0</x:v>
      </x:c>
      <x:c r="G83" s="10" t="n">
        <x:v>65</x:v>
      </x:c>
      <x:c r="H83" s="10" t="n">
        <x:v>0</x:v>
      </x:c>
      <x:c r="I83" s="10" t="n">
        <x:v>144950</x:v>
      </x:c>
      <x:c r="J83" s="10" t="n">
        <x:v>218</x:v>
      </x:c>
      <x:c r="K83" s="10" t="n">
        <x:v>90</x:v>
      </x:c>
      <x:c r="L83" s="10" t="str">
        <x:v>偏高</x:v>
      </x:c>
      <x:c r="M83" s="10" t="n">
        <x:f>XLOOKUP(A83,'日期维表'!$A$2:$A$43,'日期维表'!$F$2:$F$43,0)</x:f>
        <x:v>7</x:v>
      </x:c>
      <x:c r="N83" s="10" t="str">
        <x:f>XLOOKUP(B83,'产品维表'!$A$2:$A$5,'产品维表'!$B$2:$B$5,"未映射")</x:f>
        <x:v>L2</x:v>
      </x:c>
      <x:c r="O83" s="10" t="n">
        <x:f>C83+D83-F83-G83</x:f>
        <x:v>0</x:v>
      </x:c>
    </x:row>
    <x:row r="84" ht="15" hidden="0" customHeight="1">
      <x:c r="A84" s="10" t="n">
        <x:v>202309</x:v>
      </x:c>
      <x:c r="B84" s="10" t="n">
        <x:v>201</x:v>
      </x:c>
      <x:c r="C84" s="10" t="n">
        <x:v>0</x:v>
      </x:c>
      <x:c r="D84" s="10" t="n">
        <x:v>0</x:v>
      </x:c>
      <x:c r="E84" s="10" t="n">
        <x:v>0</x:v>
      </x:c>
      <x:c r="F84" s="10" t="n">
        <x:v>0</x:v>
      </x:c>
      <x:c r="G84" s="10" t="n">
        <x:v>0</x:v>
      </x:c>
      <x:c r="H84" s="10" t="n">
        <x:v>0</x:v>
      </x:c>
      <x:c r="I84" s="10" t="n">
        <x:v>0</x:v>
      </x:c>
      <x:c r="J84" s="10" t="n">
        <x:v>172</x:v>
      </x:c>
      <x:c r="K84" s="10" t="n">
        <x:v>0</x:v>
      </x:c>
      <x:c r="L84" s="10" t="str">
        <x:v>健康</x:v>
      </x:c>
      <x:c r="M84" s="10" t="n">
        <x:f>XLOOKUP(A84,'日期维表'!$A$2:$A$43,'日期维表'!$F$2:$F$43,0)</x:f>
        <x:v>7</x:v>
      </x:c>
      <x:c r="N84" s="10" t="str">
        <x:f>XLOOKUP(B84,'产品维表'!$A$2:$A$5,'产品维表'!$B$2:$B$5,"未映射")</x:f>
        <x:v>H1</x:v>
      </x:c>
      <x:c r="O84" s="10" t="n">
        <x:f>C84+D84-F84-G84</x:f>
        <x:v>0</x:v>
      </x:c>
    </x:row>
    <x:row r="85" ht="15" hidden="0" customHeight="1">
      <x:c r="A85" s="10" t="n">
        <x:v>202309</x:v>
      </x:c>
      <x:c r="B85" s="10" t="n">
        <x:v>202</x:v>
      </x:c>
      <x:c r="C85" s="10" t="n">
        <x:v>0</x:v>
      </x:c>
      <x:c r="D85" s="10" t="n">
        <x:v>0</x:v>
      </x:c>
      <x:c r="E85" s="10" t="n">
        <x:v>0</x:v>
      </x:c>
      <x:c r="F85" s="10" t="n">
        <x:v>0</x:v>
      </x:c>
      <x:c r="G85" s="10" t="n">
        <x:v>0</x:v>
      </x:c>
      <x:c r="H85" s="10" t="n">
        <x:v>0</x:v>
      </x:c>
      <x:c r="I85" s="10" t="n">
        <x:v>0</x:v>
      </x:c>
      <x:c r="J85" s="10" t="n">
        <x:v>126</x:v>
      </x:c>
      <x:c r="K85" s="10" t="n">
        <x:v>0</x:v>
      </x:c>
      <x:c r="L85" s="10" t="str">
        <x:v>健康</x:v>
      </x:c>
      <x:c r="M85" s="10" t="n">
        <x:f>XLOOKUP(A85,'日期维表'!$A$2:$A$43,'日期维表'!$F$2:$F$43,0)</x:f>
        <x:v>7</x:v>
      </x:c>
      <x:c r="N85" s="10" t="str">
        <x:f>XLOOKUP(B85,'产品维表'!$A$2:$A$5,'产品维表'!$B$2:$B$5,"未映射")</x:f>
        <x:v>H2</x:v>
      </x:c>
      <x:c r="O85" s="10" t="n">
        <x:f>C85+D85-F85-G85</x:f>
        <x:v>0</x:v>
      </x:c>
    </x:row>
    <x:row r="86" ht="15" hidden="0" customHeight="1">
      <x:c r="A86" s="10" t="n">
        <x:v>202310</x:v>
      </x:c>
      <x:c r="B86" s="10" t="n">
        <x:v>101</x:v>
      </x:c>
      <x:c r="C86" s="10" t="n">
        <x:v>65</x:v>
      </x:c>
      <x:c r="D86" s="10" t="n">
        <x:v>188</x:v>
      </x:c>
      <x:c r="E86" s="10" t="n">
        <x:v>190</x:v>
      </x:c>
      <x:c r="F86" s="10" t="n">
        <x:v>190</x:v>
      </x:c>
      <x:c r="G86" s="10" t="n">
        <x:v>63</x:v>
      </x:c>
      <x:c r="H86" s="10" t="n">
        <x:v>0</x:v>
      </x:c>
      <x:c r="I86" s="10" t="n">
        <x:v>114660</x:v>
      </x:c>
      <x:c r="J86" s="10" t="n">
        <x:v>264</x:v>
      </x:c>
      <x:c r="K86" s="10" t="n">
        <x:v>9.9</x:v>
      </x:c>
      <x:c r="L86" s="10" t="str">
        <x:v>健康</x:v>
      </x:c>
      <x:c r="M86" s="10" t="n">
        <x:f>XLOOKUP(A86,'日期维表'!$A$2:$A$43,'日期维表'!$F$2:$F$43,0)</x:f>
        <x:v>8</x:v>
      </x:c>
      <x:c r="N86" s="10" t="str">
        <x:f>XLOOKUP(B86,'产品维表'!$A$2:$A$5,'产品维表'!$B$2:$B$5,"未映射")</x:f>
        <x:v>L1</x:v>
      </x:c>
      <x:c r="O86" s="10" t="n">
        <x:f>C86+D86-F86-G86</x:f>
        <x:v>0</x:v>
      </x:c>
    </x:row>
    <x:row r="87" ht="15" hidden="0" customHeight="1">
      <x:c r="A87" s="10" t="n">
        <x:v>202310</x:v>
      </x:c>
      <x:c r="B87" s="10" t="n">
        <x:v>102</x:v>
      </x:c>
      <x:c r="C87" s="10" t="n">
        <x:v>65</x:v>
      </x:c>
      <x:c r="D87" s="10" t="n">
        <x:v>55</x:v>
      </x:c>
      <x:c r="E87" s="10" t="n">
        <x:v>56</x:v>
      </x:c>
      <x:c r="F87" s="10" t="n">
        <x:v>56</x:v>
      </x:c>
      <x:c r="G87" s="10" t="n">
        <x:v>64</x:v>
      </x:c>
      <x:c r="H87" s="10" t="n">
        <x:v>0</x:v>
      </x:c>
      <x:c r="I87" s="10" t="n">
        <x:v>142720</x:v>
      </x:c>
      <x:c r="J87" s="10" t="n">
        <x:v>218</x:v>
      </x:c>
      <x:c r="K87" s="10" t="n">
        <x:v>34.3</x:v>
      </x:c>
      <x:c r="L87" s="10" t="str">
        <x:v>健康</x:v>
      </x:c>
      <x:c r="M87" s="10" t="n">
        <x:f>XLOOKUP(A87,'日期维表'!$A$2:$A$43,'日期维表'!$F$2:$F$43,0)</x:f>
        <x:v>8</x:v>
      </x:c>
      <x:c r="N87" s="10" t="str">
        <x:f>XLOOKUP(B87,'产品维表'!$A$2:$A$5,'产品维表'!$B$2:$B$5,"未映射")</x:f>
        <x:v>L2</x:v>
      </x:c>
      <x:c r="O87" s="10" t="n">
        <x:f>C87+D87-F87-G87</x:f>
        <x:v>0</x:v>
      </x:c>
    </x:row>
    <x:row r="88" ht="15" hidden="0" customHeight="1">
      <x:c r="A88" s="10" t="n">
        <x:v>202310</x:v>
      </x:c>
      <x:c r="B88" s="10" t="n">
        <x:v>201</x:v>
      </x:c>
      <x:c r="C88" s="10" t="n">
        <x:v>0</x:v>
      </x:c>
      <x:c r="D88" s="10" t="n">
        <x:v>0</x:v>
      </x:c>
      <x:c r="E88" s="10" t="n">
        <x:v>0</x:v>
      </x:c>
      <x:c r="F88" s="10" t="n">
        <x:v>0</x:v>
      </x:c>
      <x:c r="G88" s="10" t="n">
        <x:v>0</x:v>
      </x:c>
      <x:c r="H88" s="10" t="n">
        <x:v>0</x:v>
      </x:c>
      <x:c r="I88" s="10" t="n">
        <x:v>0</x:v>
      </x:c>
      <x:c r="J88" s="10" t="n">
        <x:v>172</x:v>
      </x:c>
      <x:c r="K88" s="10" t="n">
        <x:v>0</x:v>
      </x:c>
      <x:c r="L88" s="10" t="str">
        <x:v>健康</x:v>
      </x:c>
      <x:c r="M88" s="10" t="n">
        <x:f>XLOOKUP(A88,'日期维表'!$A$2:$A$43,'日期维表'!$F$2:$F$43,0)</x:f>
        <x:v>8</x:v>
      </x:c>
      <x:c r="N88" s="10" t="str">
        <x:f>XLOOKUP(B88,'产品维表'!$A$2:$A$5,'产品维表'!$B$2:$B$5,"未映射")</x:f>
        <x:v>H1</x:v>
      </x:c>
      <x:c r="O88" s="10" t="n">
        <x:f>C88+D88-F88-G88</x:f>
        <x:v>0</x:v>
      </x:c>
    </x:row>
    <x:row r="89" ht="15" hidden="0" customHeight="1">
      <x:c r="A89" s="10" t="n">
        <x:v>202310</x:v>
      </x:c>
      <x:c r="B89" s="10" t="n">
        <x:v>202</x:v>
      </x:c>
      <x:c r="C89" s="10" t="n">
        <x:v>0</x:v>
      </x:c>
      <x:c r="D89" s="10" t="n">
        <x:v>0</x:v>
      </x:c>
      <x:c r="E89" s="10" t="n">
        <x:v>0</x:v>
      </x:c>
      <x:c r="F89" s="10" t="n">
        <x:v>0</x:v>
      </x:c>
      <x:c r="G89" s="10" t="n">
        <x:v>0</x:v>
      </x:c>
      <x:c r="H89" s="10" t="n">
        <x:v>0</x:v>
      </x:c>
      <x:c r="I89" s="10" t="n">
        <x:v>0</x:v>
      </x:c>
      <x:c r="J89" s="10" t="n">
        <x:v>126</x:v>
      </x:c>
      <x:c r="K89" s="10" t="n">
        <x:v>0</x:v>
      </x:c>
      <x:c r="L89" s="10" t="str">
        <x:v>健康</x:v>
      </x:c>
      <x:c r="M89" s="10" t="n">
        <x:f>XLOOKUP(A89,'日期维表'!$A$2:$A$43,'日期维表'!$F$2:$F$43,0)</x:f>
        <x:v>8</x:v>
      </x:c>
      <x:c r="N89" s="10" t="str">
        <x:f>XLOOKUP(B89,'产品维表'!$A$2:$A$5,'产品维表'!$B$2:$B$5,"未映射")</x:f>
        <x:v>H2</x:v>
      </x:c>
      <x:c r="O89" s="10" t="n">
        <x:f>C89+D89-F89-G89</x:f>
        <x:v>0</x:v>
      </x:c>
    </x:row>
    <x:row r="90" ht="15" hidden="0" customHeight="1">
      <x:c r="A90" s="10" t="n">
        <x:v>202311</x:v>
      </x:c>
      <x:c r="B90" s="10" t="n">
        <x:v>101</x:v>
      </x:c>
      <x:c r="C90" s="10" t="n">
        <x:v>63</x:v>
      </x:c>
      <x:c r="D90" s="10" t="n">
        <x:v>239</x:v>
      </x:c>
      <x:c r="E90" s="10" t="n">
        <x:v>241</x:v>
      </x:c>
      <x:c r="F90" s="10" t="n">
        <x:v>241</x:v>
      </x:c>
      <x:c r="G90" s="10" t="n">
        <x:v>61</x:v>
      </x:c>
      <x:c r="H90" s="10" t="n">
        <x:v>0</x:v>
      </x:c>
      <x:c r="I90" s="10" t="n">
        <x:v>111020</x:v>
      </x:c>
      <x:c r="J90" s="10" t="n">
        <x:v>264</x:v>
      </x:c>
      <x:c r="K90" s="10" t="n">
        <x:v>7.6</x:v>
      </x:c>
      <x:c r="L90" s="10" t="str">
        <x:v>偏低</x:v>
      </x:c>
      <x:c r="M90" s="10" t="n">
        <x:f>XLOOKUP(A90,'日期维表'!$A$2:$A$43,'日期维表'!$F$2:$F$43,0)</x:f>
        <x:v>8</x:v>
      </x:c>
      <x:c r="N90" s="10" t="str">
        <x:f>XLOOKUP(B90,'产品维表'!$A$2:$A$5,'产品维表'!$B$2:$B$5,"未映射")</x:f>
        <x:v>L1</x:v>
      </x:c>
      <x:c r="O90" s="10" t="n">
        <x:f>C90+D90-F90-G90</x:f>
        <x:v>0</x:v>
      </x:c>
    </x:row>
    <x:row r="91" ht="15" hidden="0" customHeight="1">
      <x:c r="A91" s="10" t="n">
        <x:v>202311</x:v>
      </x:c>
      <x:c r="B91" s="10" t="n">
        <x:v>102</x:v>
      </x:c>
      <x:c r="C91" s="10" t="n">
        <x:v>64</x:v>
      </x:c>
      <x:c r="D91" s="10" t="n">
        <x:v>60</x:v>
      </x:c>
      <x:c r="E91" s="10" t="n">
        <x:v>60</x:v>
      </x:c>
      <x:c r="F91" s="10" t="n">
        <x:v>60</x:v>
      </x:c>
      <x:c r="G91" s="10" t="n">
        <x:v>64</x:v>
      </x:c>
      <x:c r="H91" s="10" t="n">
        <x:v>0</x:v>
      </x:c>
      <x:c r="I91" s="10" t="n">
        <x:v>142720</x:v>
      </x:c>
      <x:c r="J91" s="10" t="n">
        <x:v>218</x:v>
      </x:c>
      <x:c r="K91" s="10" t="n">
        <x:v>32</x:v>
      </x:c>
      <x:c r="L91" s="10" t="str">
        <x:v>健康</x:v>
      </x:c>
      <x:c r="M91" s="10" t="n">
        <x:f>XLOOKUP(A91,'日期维表'!$A$2:$A$43,'日期维表'!$F$2:$F$43,0)</x:f>
        <x:v>8</x:v>
      </x:c>
      <x:c r="N91" s="10" t="str">
        <x:f>XLOOKUP(B91,'产品维表'!$A$2:$A$5,'产品维表'!$B$2:$B$5,"未映射")</x:f>
        <x:v>L2</x:v>
      </x:c>
      <x:c r="O91" s="10" t="n">
        <x:f>C91+D91-F91-G91</x:f>
        <x:v>0</x:v>
      </x:c>
    </x:row>
    <x:row r="92" ht="15" hidden="0" customHeight="1">
      <x:c r="A92" s="10" t="n">
        <x:v>202311</x:v>
      </x:c>
      <x:c r="B92" s="10" t="n">
        <x:v>201</x:v>
      </x:c>
      <x:c r="C92" s="10" t="n">
        <x:v>0</x:v>
      </x:c>
      <x:c r="D92" s="10" t="n">
        <x:v>0</x:v>
      </x:c>
      <x:c r="E92" s="10" t="n">
        <x:v>0</x:v>
      </x:c>
      <x:c r="F92" s="10" t="n">
        <x:v>0</x:v>
      </x:c>
      <x:c r="G92" s="10" t="n">
        <x:v>0</x:v>
      </x:c>
      <x:c r="H92" s="10" t="n">
        <x:v>0</x:v>
      </x:c>
      <x:c r="I92" s="10" t="n">
        <x:v>0</x:v>
      </x:c>
      <x:c r="J92" s="10" t="n">
        <x:v>172</x:v>
      </x:c>
      <x:c r="K92" s="10" t="n">
        <x:v>0</x:v>
      </x:c>
      <x:c r="L92" s="10" t="str">
        <x:v>健康</x:v>
      </x:c>
      <x:c r="M92" s="10" t="n">
        <x:f>XLOOKUP(A92,'日期维表'!$A$2:$A$43,'日期维表'!$F$2:$F$43,0)</x:f>
        <x:v>8</x:v>
      </x:c>
      <x:c r="N92" s="10" t="str">
        <x:f>XLOOKUP(B92,'产品维表'!$A$2:$A$5,'产品维表'!$B$2:$B$5,"未映射")</x:f>
        <x:v>H1</x:v>
      </x:c>
      <x:c r="O92" s="10" t="n">
        <x:f>C92+D92-F92-G92</x:f>
        <x:v>0</x:v>
      </x:c>
    </x:row>
    <x:row r="93" ht="15" hidden="0" customHeight="1">
      <x:c r="A93" s="10" t="n">
        <x:v>202311</x:v>
      </x:c>
      <x:c r="B93" s="10" t="n">
        <x:v>202</x:v>
      </x:c>
      <x:c r="C93" s="10" t="n">
        <x:v>0</x:v>
      </x:c>
      <x:c r="D93" s="10" t="n">
        <x:v>0</x:v>
      </x:c>
      <x:c r="E93" s="10" t="n">
        <x:v>0</x:v>
      </x:c>
      <x:c r="F93" s="10" t="n">
        <x:v>0</x:v>
      </x:c>
      <x:c r="G93" s="10" t="n">
        <x:v>0</x:v>
      </x:c>
      <x:c r="H93" s="10" t="n">
        <x:v>0</x:v>
      </x:c>
      <x:c r="I93" s="10" t="n">
        <x:v>0</x:v>
      </x:c>
      <x:c r="J93" s="10" t="n">
        <x:v>126</x:v>
      </x:c>
      <x:c r="K93" s="10" t="n">
        <x:v>0</x:v>
      </x:c>
      <x:c r="L93" s="10" t="str">
        <x:v>健康</x:v>
      </x:c>
      <x:c r="M93" s="10" t="n">
        <x:f>XLOOKUP(A93,'日期维表'!$A$2:$A$43,'日期维表'!$F$2:$F$43,0)</x:f>
        <x:v>8</x:v>
      </x:c>
      <x:c r="N93" s="10" t="str">
        <x:f>XLOOKUP(B93,'产品维表'!$A$2:$A$5,'产品维表'!$B$2:$B$5,"未映射")</x:f>
        <x:v>H2</x:v>
      </x:c>
      <x:c r="O93" s="10" t="n">
        <x:f>C93+D93-F93-G93</x:f>
        <x:v>0</x:v>
      </x:c>
    </x:row>
    <x:row r="94" ht="15" hidden="0" customHeight="1">
      <x:c r="A94" s="10" t="n">
        <x:v>202312</x:v>
      </x:c>
      <x:c r="B94" s="10" t="n">
        <x:v>101</x:v>
      </x:c>
      <x:c r="C94" s="10" t="n">
        <x:v>61</x:v>
      </x:c>
      <x:c r="D94" s="10" t="n">
        <x:v>193</x:v>
      </x:c>
      <x:c r="E94" s="10" t="n">
        <x:v>219</x:v>
      </x:c>
      <x:c r="F94" s="10" t="n">
        <x:v>219</x:v>
      </x:c>
      <x:c r="G94" s="10" t="n">
        <x:v>35</x:v>
      </x:c>
      <x:c r="H94" s="10" t="n">
        <x:v>0</x:v>
      </x:c>
      <x:c r="I94" s="10" t="n">
        <x:v>63700</x:v>
      </x:c>
      <x:c r="J94" s="10" t="n">
        <x:v>264</x:v>
      </x:c>
      <x:c r="K94" s="10" t="n">
        <x:v>4.8</x:v>
      </x:c>
      <x:c r="L94" s="10" t="str">
        <x:v>偏低</x:v>
      </x:c>
      <x:c r="M94" s="10" t="n">
        <x:f>XLOOKUP(A94,'日期维表'!$A$2:$A$43,'日期维表'!$F$2:$F$43,0)</x:f>
        <x:v>8</x:v>
      </x:c>
      <x:c r="N94" s="10" t="str">
        <x:f>XLOOKUP(B94,'产品维表'!$A$2:$A$5,'产品维表'!$B$2:$B$5,"未映射")</x:f>
        <x:v>L1</x:v>
      </x:c>
      <x:c r="O94" s="10" t="n">
        <x:f>C94+D94-F94-G94</x:f>
        <x:v>0</x:v>
      </x:c>
    </x:row>
    <x:row r="95" ht="15" hidden="0" customHeight="1">
      <x:c r="A95" s="10" t="n">
        <x:v>202312</x:v>
      </x:c>
      <x:c r="B95" s="10" t="n">
        <x:v>102</x:v>
      </x:c>
      <x:c r="C95" s="10" t="n">
        <x:v>64</x:v>
      </x:c>
      <x:c r="D95" s="10" t="n">
        <x:v>109</x:v>
      </x:c>
      <x:c r="E95" s="10" t="n">
        <x:v>124</x:v>
      </x:c>
      <x:c r="F95" s="10" t="n">
        <x:v>124</x:v>
      </x:c>
      <x:c r="G95" s="10" t="n">
        <x:v>49</x:v>
      </x:c>
      <x:c r="H95" s="10" t="n">
        <x:v>0</x:v>
      </x:c>
      <x:c r="I95" s="10" t="n">
        <x:v>109270</x:v>
      </x:c>
      <x:c r="J95" s="10" t="n">
        <x:v>218</x:v>
      </x:c>
      <x:c r="K95" s="10" t="n">
        <x:v>11.9</x:v>
      </x:c>
      <x:c r="L95" s="10" t="str">
        <x:v>健康</x:v>
      </x:c>
      <x:c r="M95" s="10" t="n">
        <x:f>XLOOKUP(A95,'日期维表'!$A$2:$A$43,'日期维表'!$F$2:$F$43,0)</x:f>
        <x:v>8</x:v>
      </x:c>
      <x:c r="N95" s="10" t="str">
        <x:f>XLOOKUP(B95,'产品维表'!$A$2:$A$5,'产品维表'!$B$2:$B$5,"未映射")</x:f>
        <x:v>L2</x:v>
      </x:c>
      <x:c r="O95" s="10" t="n">
        <x:f>C95+D95-F95-G95</x:f>
        <x:v>0</x:v>
      </x:c>
    </x:row>
    <x:row r="96" ht="15" hidden="0" customHeight="1">
      <x:c r="A96" s="10" t="n">
        <x:v>202312</x:v>
      </x:c>
      <x:c r="B96" s="10" t="n">
        <x:v>201</x:v>
      </x:c>
      <x:c r="C96" s="10" t="n">
        <x:v>0</x:v>
      </x:c>
      <x:c r="D96" s="10" t="n">
        <x:v>40</x:v>
      </x:c>
      <x:c r="E96" s="10" t="n">
        <x:v>0</x:v>
      </x:c>
      <x:c r="F96" s="10" t="n">
        <x:v>0</x:v>
      </x:c>
      <x:c r="G96" s="10" t="n">
        <x:v>40</x:v>
      </x:c>
      <x:c r="H96" s="10" t="n">
        <x:v>0</x:v>
      </x:c>
      <x:c r="I96" s="10" t="n">
        <x:v>126000</x:v>
      </x:c>
      <x:c r="J96" s="10" t="n">
        <x:v>172</x:v>
      </x:c>
      <x:c r="K96" s="10" t="n">
        <x:v>90</x:v>
      </x:c>
      <x:c r="L96" s="10" t="str">
        <x:v>偏高</x:v>
      </x:c>
      <x:c r="M96" s="10" t="n">
        <x:f>XLOOKUP(A96,'日期维表'!$A$2:$A$43,'日期维表'!$F$2:$F$43,0)</x:f>
        <x:v>8</x:v>
      </x:c>
      <x:c r="N96" s="10" t="str">
        <x:f>XLOOKUP(B96,'产品维表'!$A$2:$A$5,'产品维表'!$B$2:$B$5,"未映射")</x:f>
        <x:v>H1</x:v>
      </x:c>
      <x:c r="O96" s="10" t="n">
        <x:f>C96+D96-F96-G96</x:f>
        <x:v>0</x:v>
      </x:c>
    </x:row>
    <x:row r="97" ht="15" hidden="0" customHeight="1">
      <x:c r="A97" s="10" t="n">
        <x:v>202312</x:v>
      </x:c>
      <x:c r="B97" s="10" t="n">
        <x:v>202</x:v>
      </x:c>
      <x:c r="C97" s="10" t="n">
        <x:v>0</x:v>
      </x:c>
      <x:c r="D97" s="10" t="n">
        <x:v>39</x:v>
      </x:c>
      <x:c r="E97" s="10" t="n">
        <x:v>0</x:v>
      </x:c>
      <x:c r="F97" s="10" t="n">
        <x:v>0</x:v>
      </x:c>
      <x:c r="G97" s="10" t="n">
        <x:v>39</x:v>
      </x:c>
      <x:c r="H97" s="10" t="n">
        <x:v>0</x:v>
      </x:c>
      <x:c r="I97" s="10" t="n">
        <x:v>148980</x:v>
      </x:c>
      <x:c r="J97" s="10" t="n">
        <x:v>126</x:v>
      </x:c>
      <x:c r="K97" s="10" t="n">
        <x:v>90</x:v>
      </x:c>
      <x:c r="L97" s="10" t="str">
        <x:v>偏高</x:v>
      </x:c>
      <x:c r="M97" s="10" t="n">
        <x:f>XLOOKUP(A97,'日期维表'!$A$2:$A$43,'日期维表'!$F$2:$F$43,0)</x:f>
        <x:v>8</x:v>
      </x:c>
      <x:c r="N97" s="10" t="str">
        <x:f>XLOOKUP(B97,'产品维表'!$A$2:$A$5,'产品维表'!$B$2:$B$5,"未映射")</x:f>
        <x:v>H2</x:v>
      </x:c>
      <x:c r="O97" s="10" t="n">
        <x:f>C97+D97-F97-G97</x:f>
        <x:v>0</x:v>
      </x:c>
    </x:row>
    <x:row r="98" ht="15" hidden="0" customHeight="1">
      <x:c r="A98" s="10" t="n">
        <x:v>202401</x:v>
      </x:c>
      <x:c r="B98" s="10" t="n">
        <x:v>101</x:v>
      </x:c>
      <x:c r="C98" s="10" t="n">
        <x:v>35</x:v>
      </x:c>
      <x:c r="D98" s="10" t="n">
        <x:v>72</x:v>
      </x:c>
      <x:c r="E98" s="10" t="n">
        <x:v>43</x:v>
      </x:c>
      <x:c r="F98" s="10" t="n">
        <x:v>43</x:v>
      </x:c>
      <x:c r="G98" s="10" t="n">
        <x:v>64</x:v>
      </x:c>
      <x:c r="H98" s="10" t="n">
        <x:v>0</x:v>
      </x:c>
      <x:c r="I98" s="10" t="n">
        <x:v>116480</x:v>
      </x:c>
      <x:c r="J98" s="10" t="n">
        <x:v>264</x:v>
      </x:c>
      <x:c r="K98" s="10" t="n">
        <x:v>44.7</x:v>
      </x:c>
      <x:c r="L98" s="10" t="str">
        <x:v>健康</x:v>
      </x:c>
      <x:c r="M98" s="10" t="n">
        <x:f>XLOOKUP(A98,'日期维表'!$A$2:$A$43,'日期维表'!$F$2:$F$43,0)</x:f>
        <x:v>9</x:v>
      </x:c>
      <x:c r="N98" s="10" t="str">
        <x:f>XLOOKUP(B98,'产品维表'!$A$2:$A$5,'产品维表'!$B$2:$B$5,"未映射")</x:f>
        <x:v>L1</x:v>
      </x:c>
      <x:c r="O98" s="10" t="n">
        <x:f>C98+D98-F98-G98</x:f>
        <x:v>0</x:v>
      </x:c>
    </x:row>
    <x:row r="99" ht="15" hidden="0" customHeight="1">
      <x:c r="A99" s="10" t="n">
        <x:v>202401</x:v>
      </x:c>
      <x:c r="B99" s="10" t="n">
        <x:v>102</x:v>
      </x:c>
      <x:c r="C99" s="10" t="n">
        <x:v>49</x:v>
      </x:c>
      <x:c r="D99" s="10" t="n">
        <x:v>39</x:v>
      </x:c>
      <x:c r="E99" s="10" t="n">
        <x:v>24</x:v>
      </x:c>
      <x:c r="F99" s="10" t="n">
        <x:v>24</x:v>
      </x:c>
      <x:c r="G99" s="10" t="n">
        <x:v>64</x:v>
      </x:c>
      <x:c r="H99" s="10" t="n">
        <x:v>0</x:v>
      </x:c>
      <x:c r="I99" s="10" t="n">
        <x:v>142720</x:v>
      </x:c>
      <x:c r="J99" s="10" t="n">
        <x:v>218</x:v>
      </x:c>
      <x:c r="K99" s="10" t="n">
        <x:v>80</x:v>
      </x:c>
      <x:c r="L99" s="10" t="str">
        <x:v>偏高</x:v>
      </x:c>
      <x:c r="M99" s="10" t="n">
        <x:f>XLOOKUP(A99,'日期维表'!$A$2:$A$43,'日期维表'!$F$2:$F$43,0)</x:f>
        <x:v>9</x:v>
      </x:c>
      <x:c r="N99" s="10" t="str">
        <x:f>XLOOKUP(B99,'产品维表'!$A$2:$A$5,'产品维表'!$B$2:$B$5,"未映射")</x:f>
        <x:v>L2</x:v>
      </x:c>
      <x:c r="O99" s="10" t="n">
        <x:f>C99+D99-F99-G99</x:f>
        <x:v>0</x:v>
      </x:c>
    </x:row>
    <x:row r="100" ht="15" hidden="0" customHeight="1">
      <x:c r="A100" s="10" t="n">
        <x:v>202401</x:v>
      </x:c>
      <x:c r="B100" s="10" t="n">
        <x:v>201</x:v>
      </x:c>
      <x:c r="C100" s="10" t="n">
        <x:v>40</x:v>
      </x:c>
      <x:c r="D100" s="10" t="n">
        <x:v>61</x:v>
      </x:c>
      <x:c r="E100" s="10" t="n">
        <x:v>57</x:v>
      </x:c>
      <x:c r="F100" s="10" t="n">
        <x:v>57</x:v>
      </x:c>
      <x:c r="G100" s="10" t="n">
        <x:v>44</x:v>
      </x:c>
      <x:c r="H100" s="10" t="n">
        <x:v>0</x:v>
      </x:c>
      <x:c r="I100" s="10" t="n">
        <x:v>138600</x:v>
      </x:c>
      <x:c r="J100" s="10" t="n">
        <x:v>172</x:v>
      </x:c>
      <x:c r="K100" s="10" t="n">
        <x:v>23.2</x:v>
      </x:c>
      <x:c r="L100" s="10" t="str">
        <x:v>健康</x:v>
      </x:c>
      <x:c r="M100" s="10" t="n">
        <x:f>XLOOKUP(A100,'日期维表'!$A$2:$A$43,'日期维表'!$F$2:$F$43,0)</x:f>
        <x:v>9</x:v>
      </x:c>
      <x:c r="N100" s="10" t="str">
        <x:f>XLOOKUP(B100,'产品维表'!$A$2:$A$5,'产品维表'!$B$2:$B$5,"未映射")</x:f>
        <x:v>H1</x:v>
      </x:c>
      <x:c r="O100" s="10" t="n">
        <x:f>C100+D100-F100-G100</x:f>
        <x:v>0</x:v>
      </x:c>
    </x:row>
    <x:row r="101" ht="15" hidden="0" customHeight="1">
      <x:c r="A101" s="10" t="n">
        <x:v>202401</x:v>
      </x:c>
      <x:c r="B101" s="10" t="n">
        <x:v>202</x:v>
      </x:c>
      <x:c r="C101" s="10" t="n">
        <x:v>39</x:v>
      </x:c>
      <x:c r="D101" s="10" t="n">
        <x:v>47</x:v>
      </x:c>
      <x:c r="E101" s="10" t="n">
        <x:v>42</x:v>
      </x:c>
      <x:c r="F101" s="10" t="n">
        <x:v>42</x:v>
      </x:c>
      <x:c r="G101" s="10" t="n">
        <x:v>44</x:v>
      </x:c>
      <x:c r="H101" s="10" t="n">
        <x:v>0</x:v>
      </x:c>
      <x:c r="I101" s="10" t="n">
        <x:v>168080</x:v>
      </x:c>
      <x:c r="J101" s="10" t="n">
        <x:v>126</x:v>
      </x:c>
      <x:c r="K101" s="10" t="n">
        <x:v>31.4</x:v>
      </x:c>
      <x:c r="L101" s="10" t="str">
        <x:v>健康</x:v>
      </x:c>
      <x:c r="M101" s="10" t="n">
        <x:f>XLOOKUP(A101,'日期维表'!$A$2:$A$43,'日期维表'!$F$2:$F$43,0)</x:f>
        <x:v>9</x:v>
      </x:c>
      <x:c r="N101" s="10" t="str">
        <x:f>XLOOKUP(B101,'产品维表'!$A$2:$A$5,'产品维表'!$B$2:$B$5,"未映射")</x:f>
        <x:v>H2</x:v>
      </x:c>
      <x:c r="O101" s="10" t="n">
        <x:f>C101+D101-F101-G101</x:f>
        <x:v>0</x:v>
      </x:c>
    </x:row>
    <x:row r="102" ht="15" hidden="0" customHeight="1">
      <x:c r="A102" s="10" t="n">
        <x:v>202402</x:v>
      </x:c>
      <x:c r="B102" s="10" t="n">
        <x:v>101</x:v>
      </x:c>
      <x:c r="C102" s="10" t="n">
        <x:v>64</x:v>
      </x:c>
      <x:c r="D102" s="10" t="n">
        <x:v>27</x:v>
      </x:c>
      <x:c r="E102" s="10" t="n">
        <x:v>27</x:v>
      </x:c>
      <x:c r="F102" s="10" t="n">
        <x:v>27</x:v>
      </x:c>
      <x:c r="G102" s="10" t="n">
        <x:v>64</x:v>
      </x:c>
      <x:c r="H102" s="10" t="n">
        <x:v>0</x:v>
      </x:c>
      <x:c r="I102" s="10" t="n">
        <x:v>116480</x:v>
      </x:c>
      <x:c r="J102" s="10" t="n">
        <x:v>264</x:v>
      </x:c>
      <x:c r="K102" s="10" t="n">
        <x:v>71.1</x:v>
      </x:c>
      <x:c r="L102" s="10" t="str">
        <x:v>偏高</x:v>
      </x:c>
      <x:c r="M102" s="10" t="n">
        <x:f>XLOOKUP(A102,'日期维表'!$A$2:$A$43,'日期维表'!$F$2:$F$43,0)</x:f>
        <x:v>9</x:v>
      </x:c>
      <x:c r="N102" s="10" t="str">
        <x:f>XLOOKUP(B102,'产品维表'!$A$2:$A$5,'产品维表'!$B$2:$B$5,"未映射")</x:f>
        <x:v>L1</x:v>
      </x:c>
      <x:c r="O102" s="10" t="n">
        <x:f>C102+D102-F102-G102</x:f>
        <x:v>0</x:v>
      </x:c>
    </x:row>
    <x:row r="103" ht="15" hidden="0" customHeight="1">
      <x:c r="A103" s="10" t="n">
        <x:v>202402</x:v>
      </x:c>
      <x:c r="B103" s="10" t="n">
        <x:v>102</x:v>
      </x:c>
      <x:c r="C103" s="10" t="n">
        <x:v>64</x:v>
      </x:c>
      <x:c r="D103" s="10" t="n">
        <x:v>37</x:v>
      </x:c>
      <x:c r="E103" s="10" t="n">
        <x:v>37</x:v>
      </x:c>
      <x:c r="F103" s="10" t="n">
        <x:v>37</x:v>
      </x:c>
      <x:c r="G103" s="10" t="n">
        <x:v>64</x:v>
      </x:c>
      <x:c r="H103" s="10" t="n">
        <x:v>0</x:v>
      </x:c>
      <x:c r="I103" s="10" t="n">
        <x:v>142720</x:v>
      </x:c>
      <x:c r="J103" s="10" t="n">
        <x:v>218</x:v>
      </x:c>
      <x:c r="K103" s="10" t="n">
        <x:v>51.9</x:v>
      </x:c>
      <x:c r="L103" s="10" t="str">
        <x:v>偏高</x:v>
      </x:c>
      <x:c r="M103" s="10" t="n">
        <x:f>XLOOKUP(A103,'日期维表'!$A$2:$A$43,'日期维表'!$F$2:$F$43,0)</x:f>
        <x:v>9</x:v>
      </x:c>
      <x:c r="N103" s="10" t="str">
        <x:f>XLOOKUP(B103,'产品维表'!$A$2:$A$5,'产品维表'!$B$2:$B$5,"未映射")</x:f>
        <x:v>L2</x:v>
      </x:c>
      <x:c r="O103" s="10" t="n">
        <x:f>C103+D103-F103-G103</x:f>
        <x:v>0</x:v>
      </x:c>
    </x:row>
    <x:row r="104" ht="15" hidden="0" customHeight="1">
      <x:c r="A104" s="10" t="n">
        <x:v>202402</x:v>
      </x:c>
      <x:c r="B104" s="10" t="n">
        <x:v>201</x:v>
      </x:c>
      <x:c r="C104" s="10" t="n">
        <x:v>44</x:v>
      </x:c>
      <x:c r="D104" s="10" t="n">
        <x:v>44</x:v>
      </x:c>
      <x:c r="E104" s="10" t="n">
        <x:v>44</x:v>
      </x:c>
      <x:c r="F104" s="10" t="n">
        <x:v>44</x:v>
      </x:c>
      <x:c r="G104" s="10" t="n">
        <x:v>44</x:v>
      </x:c>
      <x:c r="H104" s="10" t="n">
        <x:v>0</x:v>
      </x:c>
      <x:c r="I104" s="10" t="n">
        <x:v>138600</x:v>
      </x:c>
      <x:c r="J104" s="10" t="n">
        <x:v>172</x:v>
      </x:c>
      <x:c r="K104" s="10" t="n">
        <x:v>30</x:v>
      </x:c>
      <x:c r="L104" s="10" t="str">
        <x:v>健康</x:v>
      </x:c>
      <x:c r="M104" s="10" t="n">
        <x:f>XLOOKUP(A104,'日期维表'!$A$2:$A$43,'日期维表'!$F$2:$F$43,0)</x:f>
        <x:v>9</x:v>
      </x:c>
      <x:c r="N104" s="10" t="str">
        <x:f>XLOOKUP(B104,'产品维表'!$A$2:$A$5,'产品维表'!$B$2:$B$5,"未映射")</x:f>
        <x:v>H1</x:v>
      </x:c>
      <x:c r="O104" s="10" t="n">
        <x:f>C104+D104-F104-G104</x:f>
        <x:v>0</x:v>
      </x:c>
    </x:row>
    <x:row r="105" ht="15" hidden="0" customHeight="1">
      <x:c r="A105" s="10" t="n">
        <x:v>202402</x:v>
      </x:c>
      <x:c r="B105" s="10" t="n">
        <x:v>202</x:v>
      </x:c>
      <x:c r="C105" s="10" t="n">
        <x:v>44</x:v>
      </x:c>
      <x:c r="D105" s="10" t="n">
        <x:v>51</x:v>
      </x:c>
      <x:c r="E105" s="10" t="n">
        <x:v>51</x:v>
      </x:c>
      <x:c r="F105" s="10" t="n">
        <x:v>51</x:v>
      </x:c>
      <x:c r="G105" s="10" t="n">
        <x:v>44</x:v>
      </x:c>
      <x:c r="H105" s="10" t="n">
        <x:v>0</x:v>
      </x:c>
      <x:c r="I105" s="10" t="n">
        <x:v>168080</x:v>
      </x:c>
      <x:c r="J105" s="10" t="n">
        <x:v>126</x:v>
      </x:c>
      <x:c r="K105" s="10" t="n">
        <x:v>25.9</x:v>
      </x:c>
      <x:c r="L105" s="10" t="str">
        <x:v>健康</x:v>
      </x:c>
      <x:c r="M105" s="10" t="n">
        <x:f>XLOOKUP(A105,'日期维表'!$A$2:$A$43,'日期维表'!$F$2:$F$43,0)</x:f>
        <x:v>9</x:v>
      </x:c>
      <x:c r="N105" s="10" t="str">
        <x:f>XLOOKUP(B105,'产品维表'!$A$2:$A$5,'产品维表'!$B$2:$B$5,"未映射")</x:f>
        <x:v>H2</x:v>
      </x:c>
      <x:c r="O105" s="10" t="n">
        <x:f>C105+D105-F105-G105</x:f>
        <x:v>0</x:v>
      </x:c>
    </x:row>
    <x:row r="106" ht="15" hidden="0" customHeight="1">
      <x:c r="A106" s="10" t="n">
        <x:v>202403</x:v>
      </x:c>
      <x:c r="B106" s="10" t="n">
        <x:v>101</x:v>
      </x:c>
      <x:c r="C106" s="10" t="n">
        <x:v>64</x:v>
      </x:c>
      <x:c r="D106" s="10" t="n">
        <x:v>68</x:v>
      </x:c>
      <x:c r="E106" s="10" t="n">
        <x:v>69</x:v>
      </x:c>
      <x:c r="F106" s="10" t="n">
        <x:v>69</x:v>
      </x:c>
      <x:c r="G106" s="10" t="n">
        <x:v>63</x:v>
      </x:c>
      <x:c r="H106" s="10" t="n">
        <x:v>0</x:v>
      </x:c>
      <x:c r="I106" s="10" t="n">
        <x:v>114660</x:v>
      </x:c>
      <x:c r="J106" s="10" t="n">
        <x:v>264</x:v>
      </x:c>
      <x:c r="K106" s="10" t="n">
        <x:v>27.4</x:v>
      </x:c>
      <x:c r="L106" s="10" t="str">
        <x:v>健康</x:v>
      </x:c>
      <x:c r="M106" s="10" t="n">
        <x:f>XLOOKUP(A106,'日期维表'!$A$2:$A$43,'日期维表'!$F$2:$F$43,0)</x:f>
        <x:v>9</x:v>
      </x:c>
      <x:c r="N106" s="10" t="str">
        <x:f>XLOOKUP(B106,'产品维表'!$A$2:$A$5,'产品维表'!$B$2:$B$5,"未映射")</x:f>
        <x:v>L1</x:v>
      </x:c>
      <x:c r="O106" s="10" t="n">
        <x:f>C106+D106-F106-G106</x:f>
        <x:v>0</x:v>
      </x:c>
    </x:row>
    <x:row r="107" ht="15" hidden="0" customHeight="1">
      <x:c r="A107" s="10" t="n">
        <x:v>202403</x:v>
      </x:c>
      <x:c r="B107" s="10" t="n">
        <x:v>102</x:v>
      </x:c>
      <x:c r="C107" s="10" t="n">
        <x:v>64</x:v>
      </x:c>
      <x:c r="D107" s="10" t="n">
        <x:v>10</x:v>
      </x:c>
      <x:c r="E107" s="10" t="n">
        <x:v>9</x:v>
      </x:c>
      <x:c r="F107" s="10" t="n">
        <x:v>9</x:v>
      </x:c>
      <x:c r="G107" s="10" t="n">
        <x:v>65</x:v>
      </x:c>
      <x:c r="H107" s="10" t="n">
        <x:v>0</x:v>
      </x:c>
      <x:c r="I107" s="10" t="n">
        <x:v>144950</x:v>
      </x:c>
      <x:c r="J107" s="10" t="n">
        <x:v>218</x:v>
      </x:c>
      <x:c r="K107" s="10" t="n">
        <x:v>216.7</x:v>
      </x:c>
      <x:c r="L107" s="10" t="str">
        <x:v>偏高</x:v>
      </x:c>
      <x:c r="M107" s="10" t="n">
        <x:f>XLOOKUP(A107,'日期维表'!$A$2:$A$43,'日期维表'!$F$2:$F$43,0)</x:f>
        <x:v>9</x:v>
      </x:c>
      <x:c r="N107" s="10" t="str">
        <x:f>XLOOKUP(B107,'产品维表'!$A$2:$A$5,'产品维表'!$B$2:$B$5,"未映射")</x:f>
        <x:v>L2</x:v>
      </x:c>
      <x:c r="O107" s="10" t="n">
        <x:f>C107+D107-F107-G107</x:f>
        <x:v>0</x:v>
      </x:c>
    </x:row>
    <x:row r="108" ht="15" hidden="0" customHeight="1">
      <x:c r="A108" s="10" t="n">
        <x:v>202403</x:v>
      </x:c>
      <x:c r="B108" s="10" t="n">
        <x:v>201</x:v>
      </x:c>
      <x:c r="C108" s="10" t="n">
        <x:v>44</x:v>
      </x:c>
      <x:c r="D108" s="10" t="n">
        <x:v>61</x:v>
      </x:c>
      <x:c r="E108" s="10" t="n">
        <x:v>61</x:v>
      </x:c>
      <x:c r="F108" s="10" t="n">
        <x:v>61</x:v>
      </x:c>
      <x:c r="G108" s="10" t="n">
        <x:v>44</x:v>
      </x:c>
      <x:c r="H108" s="10" t="n">
        <x:v>0</x:v>
      </x:c>
      <x:c r="I108" s="10" t="n">
        <x:v>138600</x:v>
      </x:c>
      <x:c r="J108" s="10" t="n">
        <x:v>172</x:v>
      </x:c>
      <x:c r="K108" s="10" t="n">
        <x:v>21.6</x:v>
      </x:c>
      <x:c r="L108" s="10" t="str">
        <x:v>健康</x:v>
      </x:c>
      <x:c r="M108" s="10" t="n">
        <x:f>XLOOKUP(A108,'日期维表'!$A$2:$A$43,'日期维表'!$F$2:$F$43,0)</x:f>
        <x:v>9</x:v>
      </x:c>
      <x:c r="N108" s="10" t="str">
        <x:f>XLOOKUP(B108,'产品维表'!$A$2:$A$5,'产品维表'!$B$2:$B$5,"未映射")</x:f>
        <x:v>H1</x:v>
      </x:c>
      <x:c r="O108" s="10" t="n">
        <x:f>C108+D108-F108-G108</x:f>
        <x:v>0</x:v>
      </x:c>
    </x:row>
    <x:row r="109" ht="15" hidden="0" customHeight="1">
      <x:c r="A109" s="10" t="n">
        <x:v>202403</x:v>
      </x:c>
      <x:c r="B109" s="10" t="n">
        <x:v>202</x:v>
      </x:c>
      <x:c r="C109" s="10" t="n">
        <x:v>44</x:v>
      </x:c>
      <x:c r="D109" s="10" t="n">
        <x:v>54</x:v>
      </x:c>
      <x:c r="E109" s="10" t="n">
        <x:v>54</x:v>
      </x:c>
      <x:c r="F109" s="10" t="n">
        <x:v>54</x:v>
      </x:c>
      <x:c r="G109" s="10" t="n">
        <x:v>44</x:v>
      </x:c>
      <x:c r="H109" s="10" t="n">
        <x:v>0</x:v>
      </x:c>
      <x:c r="I109" s="10" t="n">
        <x:v>168080</x:v>
      </x:c>
      <x:c r="J109" s="10" t="n">
        <x:v>126</x:v>
      </x:c>
      <x:c r="K109" s="10" t="n">
        <x:v>24.4</x:v>
      </x:c>
      <x:c r="L109" s="10" t="str">
        <x:v>健康</x:v>
      </x:c>
      <x:c r="M109" s="10" t="n">
        <x:f>XLOOKUP(A109,'日期维表'!$A$2:$A$43,'日期维表'!$F$2:$F$43,0)</x:f>
        <x:v>9</x:v>
      </x:c>
      <x:c r="N109" s="10" t="str">
        <x:f>XLOOKUP(B109,'产品维表'!$A$2:$A$5,'产品维表'!$B$2:$B$5,"未映射")</x:f>
        <x:v>H2</x:v>
      </x:c>
      <x:c r="O109" s="10" t="n">
        <x:f>C109+D109-F109-G109</x:f>
        <x:v>0</x:v>
      </x:c>
    </x:row>
    <x:row r="110" ht="15" hidden="0" customHeight="1">
      <x:c r="A110" s="10" t="n">
        <x:v>202404</x:v>
      </x:c>
      <x:c r="B110" s="10" t="n">
        <x:v>101</x:v>
      </x:c>
      <x:c r="C110" s="10" t="n">
        <x:v>63</x:v>
      </x:c>
      <x:c r="D110" s="10" t="n">
        <x:v>2</x:v>
      </x:c>
      <x:c r="E110" s="10" t="n">
        <x:v>0</x:v>
      </x:c>
      <x:c r="F110" s="10" t="n">
        <x:v>0</x:v>
      </x:c>
      <x:c r="G110" s="10" t="n">
        <x:v>65</x:v>
      </x:c>
      <x:c r="H110" s="10" t="n">
        <x:v>0</x:v>
      </x:c>
      <x:c r="I110" s="10" t="n">
        <x:v>118300</x:v>
      </x:c>
      <x:c r="J110" s="10" t="n">
        <x:v>372</x:v>
      </x:c>
      <x:c r="K110" s="10" t="n">
        <x:v>90</x:v>
      </x:c>
      <x:c r="L110" s="10" t="str">
        <x:v>偏高</x:v>
      </x:c>
      <x:c r="M110" s="10" t="n">
        <x:f>XLOOKUP(A110,'日期维表'!$A$2:$A$43,'日期维表'!$F$2:$F$43,0)</x:f>
        <x:v>10</x:v>
      </x:c>
      <x:c r="N110" s="10" t="str">
        <x:f>XLOOKUP(B110,'产品维表'!$A$2:$A$5,'产品维表'!$B$2:$B$5,"未映射")</x:f>
        <x:v>L1</x:v>
      </x:c>
      <x:c r="O110" s="10" t="n">
        <x:f>C110+D110-F110-G110</x:f>
        <x:v>0</x:v>
      </x:c>
    </x:row>
    <x:row r="111" ht="15" hidden="0" customHeight="1">
      <x:c r="A111" s="10" t="n">
        <x:v>202404</x:v>
      </x:c>
      <x:c r="B111" s="10" t="n">
        <x:v>102</x:v>
      </x:c>
      <x:c r="C111" s="10" t="n">
        <x:v>65</x:v>
      </x:c>
      <x:c r="D111" s="10" t="n">
        <x:v>0</x:v>
      </x:c>
      <x:c r="E111" s="10" t="n">
        <x:v>0</x:v>
      </x:c>
      <x:c r="F111" s="10" t="n">
        <x:v>0</x:v>
      </x:c>
      <x:c r="G111" s="10" t="n">
        <x:v>65</x:v>
      </x:c>
      <x:c r="H111" s="10" t="n">
        <x:v>0</x:v>
      </x:c>
      <x:c r="I111" s="10" t="n">
        <x:v>144950</x:v>
      </x:c>
      <x:c r="J111" s="10" t="n">
        <x:v>307</x:v>
      </x:c>
      <x:c r="K111" s="10" t="n">
        <x:v>90</x:v>
      </x:c>
      <x:c r="L111" s="10" t="str">
        <x:v>偏高</x:v>
      </x:c>
      <x:c r="M111" s="10" t="n">
        <x:f>XLOOKUP(A111,'日期维表'!$A$2:$A$43,'日期维表'!$F$2:$F$43,0)</x:f>
        <x:v>10</x:v>
      </x:c>
      <x:c r="N111" s="10" t="str">
        <x:f>XLOOKUP(B111,'产品维表'!$A$2:$A$5,'产品维表'!$B$2:$B$5,"未映射")</x:f>
        <x:v>L2</x:v>
      </x:c>
      <x:c r="O111" s="10" t="n">
        <x:f>C111+D111-F111-G111</x:f>
        <x:v>0</x:v>
      </x:c>
    </x:row>
    <x:row r="112" ht="15" hidden="0" customHeight="1">
      <x:c r="A112" s="10" t="n">
        <x:v>202404</x:v>
      </x:c>
      <x:c r="B112" s="10" t="n">
        <x:v>201</x:v>
      </x:c>
      <x:c r="C112" s="10" t="n">
        <x:v>44</x:v>
      </x:c>
      <x:c r="D112" s="10" t="n">
        <x:v>190</x:v>
      </x:c>
      <x:c r="E112" s="10" t="n">
        <x:v>193</x:v>
      </x:c>
      <x:c r="F112" s="10" t="n">
        <x:v>193</x:v>
      </x:c>
      <x:c r="G112" s="10" t="n">
        <x:v>41</x:v>
      </x:c>
      <x:c r="H112" s="10" t="n">
        <x:v>0</x:v>
      </x:c>
      <x:c r="I112" s="10" t="n">
        <x:v>129150</x:v>
      </x:c>
      <x:c r="J112" s="10" t="n">
        <x:v>243</x:v>
      </x:c>
      <x:c r="K112" s="10" t="n">
        <x:v>6.4</x:v>
      </x:c>
      <x:c r="L112" s="10" t="str">
        <x:v>偏低</x:v>
      </x:c>
      <x:c r="M112" s="10" t="n">
        <x:f>XLOOKUP(A112,'日期维表'!$A$2:$A$43,'日期维表'!$F$2:$F$43,0)</x:f>
        <x:v>10</x:v>
      </x:c>
      <x:c r="N112" s="10" t="str">
        <x:f>XLOOKUP(B112,'产品维表'!$A$2:$A$5,'产品维表'!$B$2:$B$5,"未映射")</x:f>
        <x:v>H1</x:v>
      </x:c>
      <x:c r="O112" s="10" t="n">
        <x:f>C112+D112-F112-G112</x:f>
        <x:v>0</x:v>
      </x:c>
    </x:row>
    <x:row r="113" ht="15" hidden="0" customHeight="1">
      <x:c r="A113" s="10" t="n">
        <x:v>202404</x:v>
      </x:c>
      <x:c r="B113" s="10" t="n">
        <x:v>202</x:v>
      </x:c>
      <x:c r="C113" s="10" t="n">
        <x:v>44</x:v>
      </x:c>
      <x:c r="D113" s="10" t="n">
        <x:v>71</x:v>
      </x:c>
      <x:c r="E113" s="10" t="n">
        <x:v>71</x:v>
      </x:c>
      <x:c r="F113" s="10" t="n">
        <x:v>71</x:v>
      </x:c>
      <x:c r="G113" s="10" t="n">
        <x:v>44</x:v>
      </x:c>
      <x:c r="H113" s="10" t="n">
        <x:v>0</x:v>
      </x:c>
      <x:c r="I113" s="10" t="n">
        <x:v>168080</x:v>
      </x:c>
      <x:c r="J113" s="10" t="n">
        <x:v>178</x:v>
      </x:c>
      <x:c r="K113" s="10" t="n">
        <x:v>18.6</x:v>
      </x:c>
      <x:c r="L113" s="10" t="str">
        <x:v>健康</x:v>
      </x:c>
      <x:c r="M113" s="10" t="n">
        <x:f>XLOOKUP(A113,'日期维表'!$A$2:$A$43,'日期维表'!$F$2:$F$43,0)</x:f>
        <x:v>10</x:v>
      </x:c>
      <x:c r="N113" s="10" t="str">
        <x:f>XLOOKUP(B113,'产品维表'!$A$2:$A$5,'产品维表'!$B$2:$B$5,"未映射")</x:f>
        <x:v>H2</x:v>
      </x:c>
      <x:c r="O113" s="10" t="n">
        <x:f>C113+D113-F113-G113</x:f>
        <x:v>0</x:v>
      </x:c>
    </x:row>
    <x:row r="114" ht="15" hidden="0" customHeight="1">
      <x:c r="A114" s="10" t="n">
        <x:v>202405</x:v>
      </x:c>
      <x:c r="B114" s="10" t="n">
        <x:v>101</x:v>
      </x:c>
      <x:c r="C114" s="10" t="n">
        <x:v>65</x:v>
      </x:c>
      <x:c r="D114" s="10" t="n">
        <x:v>0</x:v>
      </x:c>
      <x:c r="E114" s="10" t="n">
        <x:v>0</x:v>
      </x:c>
      <x:c r="F114" s="10" t="n">
        <x:v>0</x:v>
      </x:c>
      <x:c r="G114" s="10" t="n">
        <x:v>65</x:v>
      </x:c>
      <x:c r="H114" s="10" t="n">
        <x:v>0</x:v>
      </x:c>
      <x:c r="I114" s="10" t="n">
        <x:v>118300</x:v>
      </x:c>
      <x:c r="J114" s="10" t="n">
        <x:v>372</x:v>
      </x:c>
      <x:c r="K114" s="10" t="n">
        <x:v>90</x:v>
      </x:c>
      <x:c r="L114" s="10" t="str">
        <x:v>偏高</x:v>
      </x:c>
      <x:c r="M114" s="10" t="n">
        <x:f>XLOOKUP(A114,'日期维表'!$A$2:$A$43,'日期维表'!$F$2:$F$43,0)</x:f>
        <x:v>10</x:v>
      </x:c>
      <x:c r="N114" s="10" t="str">
        <x:f>XLOOKUP(B114,'产品维表'!$A$2:$A$5,'产品维表'!$B$2:$B$5,"未映射")</x:f>
        <x:v>L1</x:v>
      </x:c>
      <x:c r="O114" s="10" t="n">
        <x:f>C114+D114-F114-G114</x:f>
        <x:v>0</x:v>
      </x:c>
    </x:row>
    <x:row r="115" ht="15" hidden="0" customHeight="1">
      <x:c r="A115" s="10" t="n">
        <x:v>202405</x:v>
      </x:c>
      <x:c r="B115" s="10" t="n">
        <x:v>102</x:v>
      </x:c>
      <x:c r="C115" s="10" t="n">
        <x:v>65</x:v>
      </x:c>
      <x:c r="D115" s="10" t="n">
        <x:v>0</x:v>
      </x:c>
      <x:c r="E115" s="10" t="n">
        <x:v>0</x:v>
      </x:c>
      <x:c r="F115" s="10" t="n">
        <x:v>0</x:v>
      </x:c>
      <x:c r="G115" s="10" t="n">
        <x:v>65</x:v>
      </x:c>
      <x:c r="H115" s="10" t="n">
        <x:v>0</x:v>
      </x:c>
      <x:c r="I115" s="10" t="n">
        <x:v>144950</x:v>
      </x:c>
      <x:c r="J115" s="10" t="n">
        <x:v>307</x:v>
      </x:c>
      <x:c r="K115" s="10" t="n">
        <x:v>90</x:v>
      </x:c>
      <x:c r="L115" s="10" t="str">
        <x:v>偏高</x:v>
      </x:c>
      <x:c r="M115" s="10" t="n">
        <x:f>XLOOKUP(A115,'日期维表'!$A$2:$A$43,'日期维表'!$F$2:$F$43,0)</x:f>
        <x:v>10</x:v>
      </x:c>
      <x:c r="N115" s="10" t="str">
        <x:f>XLOOKUP(B115,'产品维表'!$A$2:$A$5,'产品维表'!$B$2:$B$5,"未映射")</x:f>
        <x:v>L2</x:v>
      </x:c>
      <x:c r="O115" s="10" t="n">
        <x:f>C115+D115-F115-G115</x:f>
        <x:v>0</x:v>
      </x:c>
    </x:row>
    <x:row r="116" ht="15" hidden="0" customHeight="1">
      <x:c r="A116" s="10" t="n">
        <x:v>202405</x:v>
      </x:c>
      <x:c r="B116" s="10" t="n">
        <x:v>201</x:v>
      </x:c>
      <x:c r="C116" s="10" t="n">
        <x:v>41</x:v>
      </x:c>
      <x:c r="D116" s="10" t="n">
        <x:v>271</x:v>
      </x:c>
      <x:c r="E116" s="10" t="n">
        <x:v>271</x:v>
      </x:c>
      <x:c r="F116" s="10" t="n">
        <x:v>271</x:v>
      </x:c>
      <x:c r="G116" s="10" t="n">
        <x:v>41</x:v>
      </x:c>
      <x:c r="H116" s="10" t="n">
        <x:v>0</x:v>
      </x:c>
      <x:c r="I116" s="10" t="n">
        <x:v>129150</x:v>
      </x:c>
      <x:c r="J116" s="10" t="n">
        <x:v>243</x:v>
      </x:c>
      <x:c r="K116" s="10" t="n">
        <x:v>4.5</x:v>
      </x:c>
      <x:c r="L116" s="10" t="str">
        <x:v>偏低</x:v>
      </x:c>
      <x:c r="M116" s="10" t="n">
        <x:f>XLOOKUP(A116,'日期维表'!$A$2:$A$43,'日期维表'!$F$2:$F$43,0)</x:f>
        <x:v>10</x:v>
      </x:c>
      <x:c r="N116" s="10" t="str">
        <x:f>XLOOKUP(B116,'产品维表'!$A$2:$A$5,'产品维表'!$B$2:$B$5,"未映射")</x:f>
        <x:v>H1</x:v>
      </x:c>
      <x:c r="O116" s="10" t="n">
        <x:f>C116+D116-F116-G116</x:f>
        <x:v>0</x:v>
      </x:c>
    </x:row>
    <x:row r="117" ht="15" hidden="0" customHeight="1">
      <x:c r="A117" s="10" t="n">
        <x:v>202405</x:v>
      </x:c>
      <x:c r="B117" s="10" t="n">
        <x:v>202</x:v>
      </x:c>
      <x:c r="C117" s="10" t="n">
        <x:v>44</x:v>
      </x:c>
      <x:c r="D117" s="10" t="n">
        <x:v>46</x:v>
      </x:c>
      <x:c r="E117" s="10" t="n">
        <x:v>46</x:v>
      </x:c>
      <x:c r="F117" s="10" t="n">
        <x:v>46</x:v>
      </x:c>
      <x:c r="G117" s="10" t="n">
        <x:v>44</x:v>
      </x:c>
      <x:c r="H117" s="10" t="n">
        <x:v>0</x:v>
      </x:c>
      <x:c r="I117" s="10" t="n">
        <x:v>168080</x:v>
      </x:c>
      <x:c r="J117" s="10" t="n">
        <x:v>178</x:v>
      </x:c>
      <x:c r="K117" s="10" t="n">
        <x:v>28.7</x:v>
      </x:c>
      <x:c r="L117" s="10" t="str">
        <x:v>健康</x:v>
      </x:c>
      <x:c r="M117" s="10" t="n">
        <x:f>XLOOKUP(A117,'日期维表'!$A$2:$A$43,'日期维表'!$F$2:$F$43,0)</x:f>
        <x:v>10</x:v>
      </x:c>
      <x:c r="N117" s="10" t="str">
        <x:f>XLOOKUP(B117,'产品维表'!$A$2:$A$5,'产品维表'!$B$2:$B$5,"未映射")</x:f>
        <x:v>H2</x:v>
      </x:c>
      <x:c r="O117" s="10" t="n">
        <x:f>C117+D117-F117-G117</x:f>
        <x:v>0</x:v>
      </x:c>
    </x:row>
    <x:row r="118" ht="15" hidden="0" customHeight="1">
      <x:c r="A118" s="10" t="n">
        <x:v>202406</x:v>
      </x:c>
      <x:c r="B118" s="10" t="n">
        <x:v>101</x:v>
      </x:c>
      <x:c r="C118" s="10" t="n">
        <x:v>65</x:v>
      </x:c>
      <x:c r="D118" s="10" t="n">
        <x:v>0</x:v>
      </x:c>
      <x:c r="E118" s="10" t="n">
        <x:v>0</x:v>
      </x:c>
      <x:c r="F118" s="10" t="n">
        <x:v>0</x:v>
      </x:c>
      <x:c r="G118" s="10" t="n">
        <x:v>65</x:v>
      </x:c>
      <x:c r="H118" s="10" t="n">
        <x:v>0</x:v>
      </x:c>
      <x:c r="I118" s="10" t="n">
        <x:v>118300</x:v>
      </x:c>
      <x:c r="J118" s="10" t="n">
        <x:v>372</x:v>
      </x:c>
      <x:c r="K118" s="10" t="n">
        <x:v>90</x:v>
      </x:c>
      <x:c r="L118" s="10" t="str">
        <x:v>偏高</x:v>
      </x:c>
      <x:c r="M118" s="10" t="n">
        <x:f>XLOOKUP(A118,'日期维表'!$A$2:$A$43,'日期维表'!$F$2:$F$43,0)</x:f>
        <x:v>10</x:v>
      </x:c>
      <x:c r="N118" s="10" t="str">
        <x:f>XLOOKUP(B118,'产品维表'!$A$2:$A$5,'产品维表'!$B$2:$B$5,"未映射")</x:f>
        <x:v>L1</x:v>
      </x:c>
      <x:c r="O118" s="10" t="n">
        <x:f>C118+D118-F118-G118</x:f>
        <x:v>0</x:v>
      </x:c>
    </x:row>
    <x:row r="119" ht="15" hidden="0" customHeight="1">
      <x:c r="A119" s="10" t="n">
        <x:v>202406</x:v>
      </x:c>
      <x:c r="B119" s="10" t="n">
        <x:v>102</x:v>
      </x:c>
      <x:c r="C119" s="10" t="n">
        <x:v>65</x:v>
      </x:c>
      <x:c r="D119" s="10" t="n">
        <x:v>0</x:v>
      </x:c>
      <x:c r="E119" s="10" t="n">
        <x:v>0</x:v>
      </x:c>
      <x:c r="F119" s="10" t="n">
        <x:v>0</x:v>
      </x:c>
      <x:c r="G119" s="10" t="n">
        <x:v>65</x:v>
      </x:c>
      <x:c r="H119" s="10" t="n">
        <x:v>0</x:v>
      </x:c>
      <x:c r="I119" s="10" t="n">
        <x:v>144950</x:v>
      </x:c>
      <x:c r="J119" s="10" t="n">
        <x:v>307</x:v>
      </x:c>
      <x:c r="K119" s="10" t="n">
        <x:v>90</x:v>
      </x:c>
      <x:c r="L119" s="10" t="str">
        <x:v>偏高</x:v>
      </x:c>
      <x:c r="M119" s="10" t="n">
        <x:f>XLOOKUP(A119,'日期维表'!$A$2:$A$43,'日期维表'!$F$2:$F$43,0)</x:f>
        <x:v>10</x:v>
      </x:c>
      <x:c r="N119" s="10" t="str">
        <x:f>XLOOKUP(B119,'产品维表'!$A$2:$A$5,'产品维表'!$B$2:$B$5,"未映射")</x:f>
        <x:v>L2</x:v>
      </x:c>
      <x:c r="O119" s="10" t="n">
        <x:f>C119+D119-F119-G119</x:f>
        <x:v>0</x:v>
      </x:c>
    </x:row>
    <x:row r="120" ht="15" hidden="0" customHeight="1">
      <x:c r="A120" s="10" t="n">
        <x:v>202406</x:v>
      </x:c>
      <x:c r="B120" s="10" t="n">
        <x:v>201</x:v>
      </x:c>
      <x:c r="C120" s="10" t="n">
        <x:v>41</x:v>
      </x:c>
      <x:c r="D120" s="10" t="n">
        <x:v>310</x:v>
      </x:c>
      <x:c r="E120" s="10" t="n">
        <x:v>311</x:v>
      </x:c>
      <x:c r="F120" s="10" t="n">
        <x:v>311</x:v>
      </x:c>
      <x:c r="G120" s="10" t="n">
        <x:v>40</x:v>
      </x:c>
      <x:c r="H120" s="10" t="n">
        <x:v>0</x:v>
      </x:c>
      <x:c r="I120" s="10" t="n">
        <x:v>126000</x:v>
      </x:c>
      <x:c r="J120" s="10" t="n">
        <x:v>243</x:v>
      </x:c>
      <x:c r="K120" s="10" t="n">
        <x:v>3.9</x:v>
      </x:c>
      <x:c r="L120" s="10" t="str">
        <x:v>偏低</x:v>
      </x:c>
      <x:c r="M120" s="10" t="n">
        <x:f>XLOOKUP(A120,'日期维表'!$A$2:$A$43,'日期维表'!$F$2:$F$43,0)</x:f>
        <x:v>10</x:v>
      </x:c>
      <x:c r="N120" s="10" t="str">
        <x:f>XLOOKUP(B120,'产品维表'!$A$2:$A$5,'产品维表'!$B$2:$B$5,"未映射")</x:f>
        <x:v>H1</x:v>
      </x:c>
      <x:c r="O120" s="10" t="n">
        <x:f>C120+D120-F120-G120</x:f>
        <x:v>0</x:v>
      </x:c>
    </x:row>
    <x:row r="121" ht="15" hidden="0" customHeight="1">
      <x:c r="A121" s="10" t="n">
        <x:v>202406</x:v>
      </x:c>
      <x:c r="B121" s="10" t="n">
        <x:v>202</x:v>
      </x:c>
      <x:c r="C121" s="10" t="n">
        <x:v>44</x:v>
      </x:c>
      <x:c r="D121" s="10" t="n">
        <x:v>87</x:v>
      </x:c>
      <x:c r="E121" s="10" t="n">
        <x:v>88</x:v>
      </x:c>
      <x:c r="F121" s="10" t="n">
        <x:v>88</x:v>
      </x:c>
      <x:c r="G121" s="10" t="n">
        <x:v>43</x:v>
      </x:c>
      <x:c r="H121" s="10" t="n">
        <x:v>0</x:v>
      </x:c>
      <x:c r="I121" s="10" t="n">
        <x:v>164260</x:v>
      </x:c>
      <x:c r="J121" s="10" t="n">
        <x:v>178</x:v>
      </x:c>
      <x:c r="K121" s="10" t="n">
        <x:v>14.7</x:v>
      </x:c>
      <x:c r="L121" s="10" t="str">
        <x:v>健康</x:v>
      </x:c>
      <x:c r="M121" s="10" t="n">
        <x:f>XLOOKUP(A121,'日期维表'!$A$2:$A$43,'日期维表'!$F$2:$F$43,0)</x:f>
        <x:v>10</x:v>
      </x:c>
      <x:c r="N121" s="10" t="str">
        <x:f>XLOOKUP(B121,'产品维表'!$A$2:$A$5,'产品维表'!$B$2:$B$5,"未映射")</x:f>
        <x:v>H2</x:v>
      </x:c>
      <x:c r="O121" s="10" t="n">
        <x:f>C121+D121-F121-G121</x:f>
        <x:v>0</x:v>
      </x:c>
    </x:row>
    <x:row r="122" ht="15" hidden="0" customHeight="1">
      <x:c r="A122" s="10" t="n">
        <x:v>202407</x:v>
      </x:c>
      <x:c r="B122" s="10" t="n">
        <x:v>101</x:v>
      </x:c>
      <x:c r="C122" s="10" t="n">
        <x:v>65</x:v>
      </x:c>
      <x:c r="D122" s="10" t="n">
        <x:v>263</x:v>
      </x:c>
      <x:c r="E122" s="10" t="n">
        <x:v>249</x:v>
      </x:c>
      <x:c r="F122" s="10" t="n">
        <x:v>249</x:v>
      </x:c>
      <x:c r="G122" s="10" t="n">
        <x:v>79</x:v>
      </x:c>
      <x:c r="H122" s="10" t="n">
        <x:v>0</x:v>
      </x:c>
      <x:c r="I122" s="10" t="n">
        <x:v>143780</x:v>
      </x:c>
      <x:c r="J122" s="10" t="n">
        <x:v>372</x:v>
      </x:c>
      <x:c r="K122" s="10" t="n">
        <x:v>9.5</x:v>
      </x:c>
      <x:c r="L122" s="10" t="str">
        <x:v>健康</x:v>
      </x:c>
      <x:c r="M122" s="10" t="n">
        <x:f>XLOOKUP(A122,'日期维表'!$A$2:$A$43,'日期维表'!$F$2:$F$43,0)</x:f>
        <x:v>11</x:v>
      </x:c>
      <x:c r="N122" s="10" t="str">
        <x:f>XLOOKUP(B122,'产品维表'!$A$2:$A$5,'产品维表'!$B$2:$B$5,"未映射")</x:f>
        <x:v>L1</x:v>
      </x:c>
      <x:c r="O122" s="10" t="n">
        <x:f>C122+D122-F122-G122</x:f>
        <x:v>0</x:v>
      </x:c>
    </x:row>
    <x:row r="123" ht="15" hidden="0" customHeight="1">
      <x:c r="A123" s="10" t="n">
        <x:v>202407</x:v>
      </x:c>
      <x:c r="B123" s="10" t="n">
        <x:v>102</x:v>
      </x:c>
      <x:c r="C123" s="10" t="n">
        <x:v>65</x:v>
      </x:c>
      <x:c r="D123" s="10" t="n">
        <x:v>227</x:v>
      </x:c>
      <x:c r="E123" s="10" t="n">
        <x:v>211</x:v>
      </x:c>
      <x:c r="F123" s="10" t="n">
        <x:v>211</x:v>
      </x:c>
      <x:c r="G123" s="10" t="n">
        <x:v>81</x:v>
      </x:c>
      <x:c r="H123" s="10" t="n">
        <x:v>0</x:v>
      </x:c>
      <x:c r="I123" s="10" t="n">
        <x:v>180630</x:v>
      </x:c>
      <x:c r="J123" s="10" t="n">
        <x:v>307</x:v>
      </x:c>
      <x:c r="K123" s="10" t="n">
        <x:v>11.5</x:v>
      </x:c>
      <x:c r="L123" s="10" t="str">
        <x:v>健康</x:v>
      </x:c>
      <x:c r="M123" s="10" t="n">
        <x:f>XLOOKUP(A123,'日期维表'!$A$2:$A$43,'日期维表'!$F$2:$F$43,0)</x:f>
        <x:v>11</x:v>
      </x:c>
      <x:c r="N123" s="10" t="str">
        <x:f>XLOOKUP(B123,'产品维表'!$A$2:$A$5,'产品维表'!$B$2:$B$5,"未映射")</x:f>
        <x:v>L2</x:v>
      </x:c>
      <x:c r="O123" s="10" t="n">
        <x:f>C123+D123-F123-G123</x:f>
        <x:v>0</x:v>
      </x:c>
    </x:row>
    <x:row r="124" ht="15" hidden="0" customHeight="1">
      <x:c r="A124" s="10" t="n">
        <x:v>202407</x:v>
      </x:c>
      <x:c r="B124" s="10" t="n">
        <x:v>201</x:v>
      </x:c>
      <x:c r="C124" s="10" t="n">
        <x:v>40</x:v>
      </x:c>
      <x:c r="D124" s="10" t="n">
        <x:v>25</x:v>
      </x:c>
      <x:c r="E124" s="10" t="n">
        <x:v>0</x:v>
      </x:c>
      <x:c r="F124" s="10" t="n">
        <x:v>0</x:v>
      </x:c>
      <x:c r="G124" s="10" t="n">
        <x:v>65</x:v>
      </x:c>
      <x:c r="H124" s="10" t="n">
        <x:v>0</x:v>
      </x:c>
      <x:c r="I124" s="10" t="n">
        <x:v>204750</x:v>
      </x:c>
      <x:c r="J124" s="10" t="n">
        <x:v>243</x:v>
      </x:c>
      <x:c r="K124" s="10" t="n">
        <x:v>90</x:v>
      </x:c>
      <x:c r="L124" s="10" t="str">
        <x:v>偏高</x:v>
      </x:c>
      <x:c r="M124" s="10" t="n">
        <x:f>XLOOKUP(A124,'日期维表'!$A$2:$A$43,'日期维表'!$F$2:$F$43,0)</x:f>
        <x:v>11</x:v>
      </x:c>
      <x:c r="N124" s="10" t="str">
        <x:f>XLOOKUP(B124,'产品维表'!$A$2:$A$5,'产品维表'!$B$2:$B$5,"未映射")</x:f>
        <x:v>H1</x:v>
      </x:c>
      <x:c r="O124" s="10" t="n">
        <x:f>C124+D124-F124-G124</x:f>
        <x:v>0</x:v>
      </x:c>
    </x:row>
    <x:row r="125" ht="15" hidden="0" customHeight="1">
      <x:c r="A125" s="10" t="n">
        <x:v>202407</x:v>
      </x:c>
      <x:c r="B125" s="10" t="n">
        <x:v>202</x:v>
      </x:c>
      <x:c r="C125" s="10" t="n">
        <x:v>43</x:v>
      </x:c>
      <x:c r="D125" s="10" t="n">
        <x:v>22</x:v>
      </x:c>
      <x:c r="E125" s="10" t="n">
        <x:v>0</x:v>
      </x:c>
      <x:c r="F125" s="10" t="n">
        <x:v>0</x:v>
      </x:c>
      <x:c r="G125" s="10" t="n">
        <x:v>65</x:v>
      </x:c>
      <x:c r="H125" s="10" t="n">
        <x:v>0</x:v>
      </x:c>
      <x:c r="I125" s="10" t="n">
        <x:v>248300</x:v>
      </x:c>
      <x:c r="J125" s="10" t="n">
        <x:v>178</x:v>
      </x:c>
      <x:c r="K125" s="10" t="n">
        <x:v>90</x:v>
      </x:c>
      <x:c r="L125" s="10" t="str">
        <x:v>偏高</x:v>
      </x:c>
      <x:c r="M125" s="10" t="n">
        <x:f>XLOOKUP(A125,'日期维表'!$A$2:$A$43,'日期维表'!$F$2:$F$43,0)</x:f>
        <x:v>11</x:v>
      </x:c>
      <x:c r="N125" s="10" t="str">
        <x:f>XLOOKUP(B125,'产品维表'!$A$2:$A$5,'产品维表'!$B$2:$B$5,"未映射")</x:f>
        <x:v>H2</x:v>
      </x:c>
      <x:c r="O125" s="10" t="n">
        <x:f>C125+D125-F125-G125</x:f>
        <x:v>0</x:v>
      </x:c>
    </x:row>
    <x:row r="126" ht="15" hidden="0" customHeight="1">
      <x:c r="A126" s="10" t="n">
        <x:v>202408</x:v>
      </x:c>
      <x:c r="B126" s="10" t="n">
        <x:v>101</x:v>
      </x:c>
      <x:c r="C126" s="10" t="n">
        <x:v>79</x:v>
      </x:c>
      <x:c r="D126" s="10" t="n">
        <x:v>266</x:v>
      </x:c>
      <x:c r="E126" s="10" t="n">
        <x:v>264</x:v>
      </x:c>
      <x:c r="F126" s="10" t="n">
        <x:v>264</x:v>
      </x:c>
      <x:c r="G126" s="10" t="n">
        <x:v>81</x:v>
      </x:c>
      <x:c r="H126" s="10" t="n">
        <x:v>0</x:v>
      </x:c>
      <x:c r="I126" s="10" t="n">
        <x:v>147420</x:v>
      </x:c>
      <x:c r="J126" s="10" t="n">
        <x:v>372</x:v>
      </x:c>
      <x:c r="K126" s="10" t="n">
        <x:v>9.2</x:v>
      </x:c>
      <x:c r="L126" s="10" t="str">
        <x:v>健康</x:v>
      </x:c>
      <x:c r="M126" s="10" t="n">
        <x:f>XLOOKUP(A126,'日期维表'!$A$2:$A$43,'日期维表'!$F$2:$F$43,0)</x:f>
        <x:v>11</x:v>
      </x:c>
      <x:c r="N126" s="10" t="str">
        <x:f>XLOOKUP(B126,'产品维表'!$A$2:$A$5,'产品维表'!$B$2:$B$5,"未映射")</x:f>
        <x:v>L1</x:v>
      </x:c>
      <x:c r="O126" s="10" t="n">
        <x:f>C126+D126-F126-G126</x:f>
        <x:v>0</x:v>
      </x:c>
    </x:row>
    <x:row r="127" ht="15" hidden="0" customHeight="1">
      <x:c r="A127" s="10" t="n">
        <x:v>202408</x:v>
      </x:c>
      <x:c r="B127" s="10" t="n">
        <x:v>102</x:v>
      </x:c>
      <x:c r="C127" s="10" t="n">
        <x:v>81</x:v>
      </x:c>
      <x:c r="D127" s="10" t="n">
        <x:v>236</x:v>
      </x:c>
      <x:c r="E127" s="10" t="n">
        <x:v>235</x:v>
      </x:c>
      <x:c r="F127" s="10" t="n">
        <x:v>235</x:v>
      </x:c>
      <x:c r="G127" s="10" t="n">
        <x:v>82</x:v>
      </x:c>
      <x:c r="H127" s="10" t="n">
        <x:v>0</x:v>
      </x:c>
      <x:c r="I127" s="10" t="n">
        <x:v>182860</x:v>
      </x:c>
      <x:c r="J127" s="10" t="n">
        <x:v>307</x:v>
      </x:c>
      <x:c r="K127" s="10" t="n">
        <x:v>10.5</x:v>
      </x:c>
      <x:c r="L127" s="10" t="str">
        <x:v>健康</x:v>
      </x:c>
      <x:c r="M127" s="10" t="n">
        <x:f>XLOOKUP(A127,'日期维表'!$A$2:$A$43,'日期维表'!$F$2:$F$43,0)</x:f>
        <x:v>11</x:v>
      </x:c>
      <x:c r="N127" s="10" t="str">
        <x:f>XLOOKUP(B127,'产品维表'!$A$2:$A$5,'产品维表'!$B$2:$B$5,"未映射")</x:f>
        <x:v>L2</x:v>
      </x:c>
      <x:c r="O127" s="10" t="n">
        <x:f>C127+D127-F127-G127</x:f>
        <x:v>0</x:v>
      </x:c>
    </x:row>
    <x:row r="128" ht="15" hidden="0" customHeight="1">
      <x:c r="A128" s="10" t="n">
        <x:v>202408</x:v>
      </x:c>
      <x:c r="B128" s="10" t="n">
        <x:v>201</x:v>
      </x:c>
      <x:c r="C128" s="10" t="n">
        <x:v>65</x:v>
      </x:c>
      <x:c r="D128" s="10" t="n">
        <x:v>0</x:v>
      </x:c>
      <x:c r="E128" s="10" t="n">
        <x:v>0</x:v>
      </x:c>
      <x:c r="F128" s="10" t="n">
        <x:v>0</x:v>
      </x:c>
      <x:c r="G128" s="10" t="n">
        <x:v>65</x:v>
      </x:c>
      <x:c r="H128" s="10" t="n">
        <x:v>0</x:v>
      </x:c>
      <x:c r="I128" s="10" t="n">
        <x:v>204750</x:v>
      </x:c>
      <x:c r="J128" s="10" t="n">
        <x:v>243</x:v>
      </x:c>
      <x:c r="K128" s="10" t="n">
        <x:v>90</x:v>
      </x:c>
      <x:c r="L128" s="10" t="str">
        <x:v>偏高</x:v>
      </x:c>
      <x:c r="M128" s="10" t="n">
        <x:f>XLOOKUP(A128,'日期维表'!$A$2:$A$43,'日期维表'!$F$2:$F$43,0)</x:f>
        <x:v>11</x:v>
      </x:c>
      <x:c r="N128" s="10" t="str">
        <x:f>XLOOKUP(B128,'产品维表'!$A$2:$A$5,'产品维表'!$B$2:$B$5,"未映射")</x:f>
        <x:v>H1</x:v>
      </x:c>
      <x:c r="O128" s="10" t="n">
        <x:f>C128+D128-F128-G128</x:f>
        <x:v>0</x:v>
      </x:c>
    </x:row>
    <x:row r="129" ht="15" hidden="0" customHeight="1">
      <x:c r="A129" s="10" t="n">
        <x:v>202408</x:v>
      </x:c>
      <x:c r="B129" s="10" t="n">
        <x:v>202</x:v>
      </x:c>
      <x:c r="C129" s="10" t="n">
        <x:v>65</x:v>
      </x:c>
      <x:c r="D129" s="10" t="n">
        <x:v>0</x:v>
      </x:c>
      <x:c r="E129" s="10" t="n">
        <x:v>0</x:v>
      </x:c>
      <x:c r="F129" s="10" t="n">
        <x:v>0</x:v>
      </x:c>
      <x:c r="G129" s="10" t="n">
        <x:v>65</x:v>
      </x:c>
      <x:c r="H129" s="10" t="n">
        <x:v>0</x:v>
      </x:c>
      <x:c r="I129" s="10" t="n">
        <x:v>248300</x:v>
      </x:c>
      <x:c r="J129" s="10" t="n">
        <x:v>178</x:v>
      </x:c>
      <x:c r="K129" s="10" t="n">
        <x:v>90</x:v>
      </x:c>
      <x:c r="L129" s="10" t="str">
        <x:v>偏高</x:v>
      </x:c>
      <x:c r="M129" s="10" t="n">
        <x:f>XLOOKUP(A129,'日期维表'!$A$2:$A$43,'日期维表'!$F$2:$F$43,0)</x:f>
        <x:v>11</x:v>
      </x:c>
      <x:c r="N129" s="10" t="str">
        <x:f>XLOOKUP(B129,'产品维表'!$A$2:$A$5,'产品维表'!$B$2:$B$5,"未映射")</x:f>
        <x:v>H2</x:v>
      </x:c>
      <x:c r="O129" s="10" t="n">
        <x:f>C129+D129-F129-G129</x:f>
        <x:v>0</x:v>
      </x:c>
    </x:row>
    <x:row r="130" ht="15" hidden="0" customHeight="1">
      <x:c r="A130" s="10" t="n">
        <x:v>202409</x:v>
      </x:c>
      <x:c r="B130" s="10" t="n">
        <x:v>101</x:v>
      </x:c>
      <x:c r="C130" s="10" t="n">
        <x:v>81</x:v>
      </x:c>
      <x:c r="D130" s="10" t="n">
        <x:v>437</x:v>
      </x:c>
      <x:c r="E130" s="10" t="n">
        <x:v>438</x:v>
      </x:c>
      <x:c r="F130" s="10" t="n">
        <x:v>438</x:v>
      </x:c>
      <x:c r="G130" s="10" t="n">
        <x:v>80</x:v>
      </x:c>
      <x:c r="H130" s="10" t="n">
        <x:v>0</x:v>
      </x:c>
      <x:c r="I130" s="10" t="n">
        <x:v>145600</x:v>
      </x:c>
      <x:c r="J130" s="10" t="n">
        <x:v>372</x:v>
      </x:c>
      <x:c r="K130" s="10" t="n">
        <x:v>5.5</x:v>
      </x:c>
      <x:c r="L130" s="10" t="str">
        <x:v>偏低</x:v>
      </x:c>
      <x:c r="M130" s="10" t="n">
        <x:f>XLOOKUP(A130,'日期维表'!$A$2:$A$43,'日期维表'!$F$2:$F$43,0)</x:f>
        <x:v>11</x:v>
      </x:c>
      <x:c r="N130" s="10" t="str">
        <x:f>XLOOKUP(B130,'产品维表'!$A$2:$A$5,'产品维表'!$B$2:$B$5,"未映射")</x:f>
        <x:v>L1</x:v>
      </x:c>
      <x:c r="O130" s="10" t="n">
        <x:f>C130+D130-F130-G130</x:f>
        <x:v>0</x:v>
      </x:c>
    </x:row>
    <x:row r="131" ht="15" hidden="0" customHeight="1">
      <x:c r="A131" s="10" t="n">
        <x:v>202409</x:v>
      </x:c>
      <x:c r="B131" s="10" t="n">
        <x:v>102</x:v>
      </x:c>
      <x:c r="C131" s="10" t="n">
        <x:v>82</x:v>
      </x:c>
      <x:c r="D131" s="10" t="n">
        <x:v>162</x:v>
      </x:c>
      <x:c r="E131" s="10" t="n">
        <x:v>161</x:v>
      </x:c>
      <x:c r="F131" s="10" t="n">
        <x:v>161</x:v>
      </x:c>
      <x:c r="G131" s="10" t="n">
        <x:v>83</x:v>
      </x:c>
      <x:c r="H131" s="10" t="n">
        <x:v>0</x:v>
      </x:c>
      <x:c r="I131" s="10" t="n">
        <x:v>185090</x:v>
      </x:c>
      <x:c r="J131" s="10" t="n">
        <x:v>307</x:v>
      </x:c>
      <x:c r="K131" s="10" t="n">
        <x:v>15.5</x:v>
      </x:c>
      <x:c r="L131" s="10" t="str">
        <x:v>健康</x:v>
      </x:c>
      <x:c r="M131" s="10" t="n">
        <x:f>XLOOKUP(A131,'日期维表'!$A$2:$A$43,'日期维表'!$F$2:$F$43,0)</x:f>
        <x:v>11</x:v>
      </x:c>
      <x:c r="N131" s="10" t="str">
        <x:f>XLOOKUP(B131,'产品维表'!$A$2:$A$5,'产品维表'!$B$2:$B$5,"未映射")</x:f>
        <x:v>L2</x:v>
      </x:c>
      <x:c r="O131" s="10" t="n">
        <x:f>C131+D131-F131-G131</x:f>
        <x:v>0</x:v>
      </x:c>
    </x:row>
    <x:row r="132" ht="15" hidden="0" customHeight="1">
      <x:c r="A132" s="10" t="n">
        <x:v>202409</x:v>
      </x:c>
      <x:c r="B132" s="10" t="n">
        <x:v>201</x:v>
      </x:c>
      <x:c r="C132" s="10" t="n">
        <x:v>65</x:v>
      </x:c>
      <x:c r="D132" s="10" t="n">
        <x:v>0</x:v>
      </x:c>
      <x:c r="E132" s="10" t="n">
        <x:v>0</x:v>
      </x:c>
      <x:c r="F132" s="10" t="n">
        <x:v>0</x:v>
      </x:c>
      <x:c r="G132" s="10" t="n">
        <x:v>65</x:v>
      </x:c>
      <x:c r="H132" s="10" t="n">
        <x:v>0</x:v>
      </x:c>
      <x:c r="I132" s="10" t="n">
        <x:v>204750</x:v>
      </x:c>
      <x:c r="J132" s="10" t="n">
        <x:v>243</x:v>
      </x:c>
      <x:c r="K132" s="10" t="n">
        <x:v>90</x:v>
      </x:c>
      <x:c r="L132" s="10" t="str">
        <x:v>偏高</x:v>
      </x:c>
      <x:c r="M132" s="10" t="n">
        <x:f>XLOOKUP(A132,'日期维表'!$A$2:$A$43,'日期维表'!$F$2:$F$43,0)</x:f>
        <x:v>11</x:v>
      </x:c>
      <x:c r="N132" s="10" t="str">
        <x:f>XLOOKUP(B132,'产品维表'!$A$2:$A$5,'产品维表'!$B$2:$B$5,"未映射")</x:f>
        <x:v>H1</x:v>
      </x:c>
      <x:c r="O132" s="10" t="n">
        <x:f>C132+D132-F132-G132</x:f>
        <x:v>0</x:v>
      </x:c>
    </x:row>
    <x:row r="133" ht="15" hidden="0" customHeight="1">
      <x:c r="A133" s="10" t="n">
        <x:v>202409</x:v>
      </x:c>
      <x:c r="B133" s="10" t="n">
        <x:v>202</x:v>
      </x:c>
      <x:c r="C133" s="10" t="n">
        <x:v>65</x:v>
      </x:c>
      <x:c r="D133" s="10" t="n">
        <x:v>0</x:v>
      </x:c>
      <x:c r="E133" s="10" t="n">
        <x:v>0</x:v>
      </x:c>
      <x:c r="F133" s="10" t="n">
        <x:v>0</x:v>
      </x:c>
      <x:c r="G133" s="10" t="n">
        <x:v>65</x:v>
      </x:c>
      <x:c r="H133" s="10" t="n">
        <x:v>0</x:v>
      </x:c>
      <x:c r="I133" s="10" t="n">
        <x:v>248300</x:v>
      </x:c>
      <x:c r="J133" s="10" t="n">
        <x:v>178</x:v>
      </x:c>
      <x:c r="K133" s="10" t="n">
        <x:v>90</x:v>
      </x:c>
      <x:c r="L133" s="10" t="str">
        <x:v>偏高</x:v>
      </x:c>
      <x:c r="M133" s="10" t="n">
        <x:f>XLOOKUP(A133,'日期维表'!$A$2:$A$43,'日期维表'!$F$2:$F$43,0)</x:f>
        <x:v>11</x:v>
      </x:c>
      <x:c r="N133" s="10" t="str">
        <x:f>XLOOKUP(B133,'产品维表'!$A$2:$A$5,'产品维表'!$B$2:$B$5,"未映射")</x:f>
        <x:v>H2</x:v>
      </x:c>
      <x:c r="O133" s="10" t="n">
        <x:f>C133+D133-F133-G133</x:f>
        <x:v>0</x:v>
      </x:c>
    </x:row>
    <x:row r="134" ht="15" hidden="0" customHeight="1">
      <x:c r="A134" s="10" t="n">
        <x:v>202410</x:v>
      </x:c>
      <x:c r="B134" s="10" t="n">
        <x:v>101</x:v>
      </x:c>
      <x:c r="C134" s="10" t="n">
        <x:v>80</x:v>
      </x:c>
      <x:c r="D134" s="10" t="n">
        <x:v>232</x:v>
      </x:c>
      <x:c r="E134" s="10" t="n">
        <x:v>231</x:v>
      </x:c>
      <x:c r="F134" s="10" t="n">
        <x:v>231</x:v>
      </x:c>
      <x:c r="G134" s="10" t="n">
        <x:v>81</x:v>
      </x:c>
      <x:c r="H134" s="10" t="n">
        <x:v>0</x:v>
      </x:c>
      <x:c r="I134" s="10" t="n">
        <x:v>147420</x:v>
      </x:c>
      <x:c r="J134" s="10" t="n">
        <x:v>524</x:v>
      </x:c>
      <x:c r="K134" s="10" t="n">
        <x:v>10.5</x:v>
      </x:c>
      <x:c r="L134" s="10" t="str">
        <x:v>健康</x:v>
      </x:c>
      <x:c r="M134" s="10" t="n">
        <x:f>XLOOKUP(A134,'日期维表'!$A$2:$A$43,'日期维表'!$F$2:$F$43,0)</x:f>
        <x:v>12</x:v>
      </x:c>
      <x:c r="N134" s="10" t="str">
        <x:f>XLOOKUP(B134,'产品维表'!$A$2:$A$5,'产品维表'!$B$2:$B$5,"未映射")</x:f>
        <x:v>L1</x:v>
      </x:c>
      <x:c r="O134" s="10" t="n">
        <x:f>C134+D134-F134-G134</x:f>
        <x:v>0</x:v>
      </x:c>
    </x:row>
    <x:row r="135" ht="15" hidden="0" customHeight="1">
      <x:c r="A135" s="10" t="n">
        <x:v>202410</x:v>
      </x:c>
      <x:c r="B135" s="10" t="n">
        <x:v>102</x:v>
      </x:c>
      <x:c r="C135" s="10" t="n">
        <x:v>83</x:v>
      </x:c>
      <x:c r="D135" s="10" t="n">
        <x:v>152</x:v>
      </x:c>
      <x:c r="E135" s="10" t="n">
        <x:v>154</x:v>
      </x:c>
      <x:c r="F135" s="10" t="n">
        <x:v>154</x:v>
      </x:c>
      <x:c r="G135" s="10" t="n">
        <x:v>81</x:v>
      </x:c>
      <x:c r="H135" s="10" t="n">
        <x:v>0</x:v>
      </x:c>
      <x:c r="I135" s="10" t="n">
        <x:v>180630</x:v>
      </x:c>
      <x:c r="J135" s="10" t="n">
        <x:v>433</x:v>
      </x:c>
      <x:c r="K135" s="10" t="n">
        <x:v>15.8</x:v>
      </x:c>
      <x:c r="L135" s="10" t="str">
        <x:v>健康</x:v>
      </x:c>
      <x:c r="M135" s="10" t="n">
        <x:f>XLOOKUP(A135,'日期维表'!$A$2:$A$43,'日期维表'!$F$2:$F$43,0)</x:f>
        <x:v>12</x:v>
      </x:c>
      <x:c r="N135" s="10" t="str">
        <x:f>XLOOKUP(B135,'产品维表'!$A$2:$A$5,'产品维表'!$B$2:$B$5,"未映射")</x:f>
        <x:v>L2</x:v>
      </x:c>
      <x:c r="O135" s="10" t="n">
        <x:f>C135+D135-F135-G135</x:f>
        <x:v>0</x:v>
      </x:c>
    </x:row>
    <x:row r="136" ht="15" hidden="0" customHeight="1">
      <x:c r="A136" s="10" t="n">
        <x:v>202410</x:v>
      </x:c>
      <x:c r="B136" s="10" t="n">
        <x:v>201</x:v>
      </x:c>
      <x:c r="C136" s="10" t="n">
        <x:v>65</x:v>
      </x:c>
      <x:c r="D136" s="10" t="n">
        <x:v>0</x:v>
      </x:c>
      <x:c r="E136" s="10" t="n">
        <x:v>0</x:v>
      </x:c>
      <x:c r="F136" s="10" t="n">
        <x:v>0</x:v>
      </x:c>
      <x:c r="G136" s="10" t="n">
        <x:v>65</x:v>
      </x:c>
      <x:c r="H136" s="10" t="n">
        <x:v>0</x:v>
      </x:c>
      <x:c r="I136" s="10" t="n">
        <x:v>204750</x:v>
      </x:c>
      <x:c r="J136" s="10" t="n">
        <x:v>342</x:v>
      </x:c>
      <x:c r="K136" s="10" t="n">
        <x:v>90</x:v>
      </x:c>
      <x:c r="L136" s="10" t="str">
        <x:v>偏高</x:v>
      </x:c>
      <x:c r="M136" s="10" t="n">
        <x:f>XLOOKUP(A136,'日期维表'!$A$2:$A$43,'日期维表'!$F$2:$F$43,0)</x:f>
        <x:v>12</x:v>
      </x:c>
      <x:c r="N136" s="10" t="str">
        <x:f>XLOOKUP(B136,'产品维表'!$A$2:$A$5,'产品维表'!$B$2:$B$5,"未映射")</x:f>
        <x:v>H1</x:v>
      </x:c>
      <x:c r="O136" s="10" t="n">
        <x:f>C136+D136-F136-G136</x:f>
        <x:v>0</x:v>
      </x:c>
    </x:row>
    <x:row r="137" ht="15" hidden="0" customHeight="1">
      <x:c r="A137" s="10" t="n">
        <x:v>202410</x:v>
      </x:c>
      <x:c r="B137" s="10" t="n">
        <x:v>202</x:v>
      </x:c>
      <x:c r="C137" s="10" t="n">
        <x:v>65</x:v>
      </x:c>
      <x:c r="D137" s="10" t="n">
        <x:v>0</x:v>
      </x:c>
      <x:c r="E137" s="10" t="n">
        <x:v>0</x:v>
      </x:c>
      <x:c r="F137" s="10" t="n">
        <x:v>0</x:v>
      </x:c>
      <x:c r="G137" s="10" t="n">
        <x:v>65</x:v>
      </x:c>
      <x:c r="H137" s="10" t="n">
        <x:v>0</x:v>
      </x:c>
      <x:c r="I137" s="10" t="n">
        <x:v>248300</x:v>
      </x:c>
      <x:c r="J137" s="10" t="n">
        <x:v>251</x:v>
      </x:c>
      <x:c r="K137" s="10" t="n">
        <x:v>90</x:v>
      </x:c>
      <x:c r="L137" s="10" t="str">
        <x:v>偏高</x:v>
      </x:c>
      <x:c r="M137" s="10" t="n">
        <x:f>XLOOKUP(A137,'日期维表'!$A$2:$A$43,'日期维表'!$F$2:$F$43,0)</x:f>
        <x:v>12</x:v>
      </x:c>
      <x:c r="N137" s="10" t="str">
        <x:f>XLOOKUP(B137,'产品维表'!$A$2:$A$5,'产品维表'!$B$2:$B$5,"未映射")</x:f>
        <x:v>H2</x:v>
      </x:c>
      <x:c r="O137" s="10" t="n">
        <x:f>C137+D137-F137-G137</x:f>
        <x:v>0</x:v>
      </x:c>
    </x:row>
    <x:row r="138" ht="15" hidden="0" customHeight="1">
      <x:c r="A138" s="10" t="n">
        <x:v>202411</x:v>
      </x:c>
      <x:c r="B138" s="10" t="n">
        <x:v>101</x:v>
      </x:c>
      <x:c r="C138" s="10" t="n">
        <x:v>81</x:v>
      </x:c>
      <x:c r="D138" s="10" t="n">
        <x:v>278</x:v>
      </x:c>
      <x:c r="E138" s="10" t="n">
        <x:v>280</x:v>
      </x:c>
      <x:c r="F138" s="10" t="n">
        <x:v>280</x:v>
      </x:c>
      <x:c r="G138" s="10" t="n">
        <x:v>79</x:v>
      </x:c>
      <x:c r="H138" s="10" t="n">
        <x:v>0</x:v>
      </x:c>
      <x:c r="I138" s="10" t="n">
        <x:v>143780</x:v>
      </x:c>
      <x:c r="J138" s="10" t="n">
        <x:v>524</x:v>
      </x:c>
      <x:c r="K138" s="10" t="n">
        <x:v>8.5</x:v>
      </x:c>
      <x:c r="L138" s="10" t="str">
        <x:v>健康</x:v>
      </x:c>
      <x:c r="M138" s="10" t="n">
        <x:f>XLOOKUP(A138,'日期维表'!$A$2:$A$43,'日期维表'!$F$2:$F$43,0)</x:f>
        <x:v>12</x:v>
      </x:c>
      <x:c r="N138" s="10" t="str">
        <x:f>XLOOKUP(B138,'产品维表'!$A$2:$A$5,'产品维表'!$B$2:$B$5,"未映射")</x:f>
        <x:v>L1</x:v>
      </x:c>
      <x:c r="O138" s="10" t="n">
        <x:f>C138+D138-F138-G138</x:f>
        <x:v>0</x:v>
      </x:c>
    </x:row>
    <x:row r="139" ht="15" hidden="0" customHeight="1">
      <x:c r="A139" s="10" t="n">
        <x:v>202411</x:v>
      </x:c>
      <x:c r="B139" s="10" t="n">
        <x:v>102</x:v>
      </x:c>
      <x:c r="C139" s="10" t="n">
        <x:v>81</x:v>
      </x:c>
      <x:c r="D139" s="10" t="n">
        <x:v>135</x:v>
      </x:c>
      <x:c r="E139" s="10" t="n">
        <x:v>134</x:v>
      </x:c>
      <x:c r="F139" s="10" t="n">
        <x:v>134</x:v>
      </x:c>
      <x:c r="G139" s="10" t="n">
        <x:v>82</x:v>
      </x:c>
      <x:c r="H139" s="10" t="n">
        <x:v>0</x:v>
      </x:c>
      <x:c r="I139" s="10" t="n">
        <x:v>182860</x:v>
      </x:c>
      <x:c r="J139" s="10" t="n">
        <x:v>433</x:v>
      </x:c>
      <x:c r="K139" s="10" t="n">
        <x:v>18.4</x:v>
      </x:c>
      <x:c r="L139" s="10" t="str">
        <x:v>健康</x:v>
      </x:c>
      <x:c r="M139" s="10" t="n">
        <x:f>XLOOKUP(A139,'日期维表'!$A$2:$A$43,'日期维表'!$F$2:$F$43,0)</x:f>
        <x:v>12</x:v>
      </x:c>
      <x:c r="N139" s="10" t="str">
        <x:f>XLOOKUP(B139,'产品维表'!$A$2:$A$5,'产品维表'!$B$2:$B$5,"未映射")</x:f>
        <x:v>L2</x:v>
      </x:c>
      <x:c r="O139" s="10" t="n">
        <x:f>C139+D139-F139-G139</x:f>
        <x:v>0</x:v>
      </x:c>
    </x:row>
    <x:row r="140" ht="15" hidden="0" customHeight="1">
      <x:c r="A140" s="10" t="n">
        <x:v>202411</x:v>
      </x:c>
      <x:c r="B140" s="10" t="n">
        <x:v>201</x:v>
      </x:c>
      <x:c r="C140" s="10" t="n">
        <x:v>65</x:v>
      </x:c>
      <x:c r="D140" s="10" t="n">
        <x:v>0</x:v>
      </x:c>
      <x:c r="E140" s="10" t="n">
        <x:v>0</x:v>
      </x:c>
      <x:c r="F140" s="10" t="n">
        <x:v>0</x:v>
      </x:c>
      <x:c r="G140" s="10" t="n">
        <x:v>65</x:v>
      </x:c>
      <x:c r="H140" s="10" t="n">
        <x:v>0</x:v>
      </x:c>
      <x:c r="I140" s="10" t="n">
        <x:v>204750</x:v>
      </x:c>
      <x:c r="J140" s="10" t="n">
        <x:v>342</x:v>
      </x:c>
      <x:c r="K140" s="10" t="n">
        <x:v>90</x:v>
      </x:c>
      <x:c r="L140" s="10" t="str">
        <x:v>偏高</x:v>
      </x:c>
      <x:c r="M140" s="10" t="n">
        <x:f>XLOOKUP(A140,'日期维表'!$A$2:$A$43,'日期维表'!$F$2:$F$43,0)</x:f>
        <x:v>12</x:v>
      </x:c>
      <x:c r="N140" s="10" t="str">
        <x:f>XLOOKUP(B140,'产品维表'!$A$2:$A$5,'产品维表'!$B$2:$B$5,"未映射")</x:f>
        <x:v>H1</x:v>
      </x:c>
      <x:c r="O140" s="10" t="n">
        <x:f>C140+D140-F140-G140</x:f>
        <x:v>0</x:v>
      </x:c>
    </x:row>
    <x:row r="141" ht="15" hidden="0" customHeight="1">
      <x:c r="A141" s="10" t="n">
        <x:v>202411</x:v>
      </x:c>
      <x:c r="B141" s="10" t="n">
        <x:v>202</x:v>
      </x:c>
      <x:c r="C141" s="10" t="n">
        <x:v>65</x:v>
      </x:c>
      <x:c r="D141" s="10" t="n">
        <x:v>0</x:v>
      </x:c>
      <x:c r="E141" s="10" t="n">
        <x:v>0</x:v>
      </x:c>
      <x:c r="F141" s="10" t="n">
        <x:v>0</x:v>
      </x:c>
      <x:c r="G141" s="10" t="n">
        <x:v>65</x:v>
      </x:c>
      <x:c r="H141" s="10" t="n">
        <x:v>0</x:v>
      </x:c>
      <x:c r="I141" s="10" t="n">
        <x:v>248300</x:v>
      </x:c>
      <x:c r="J141" s="10" t="n">
        <x:v>251</x:v>
      </x:c>
      <x:c r="K141" s="10" t="n">
        <x:v>90</x:v>
      </x:c>
      <x:c r="L141" s="10" t="str">
        <x:v>偏高</x:v>
      </x:c>
      <x:c r="M141" s="10" t="n">
        <x:f>XLOOKUP(A141,'日期维表'!$A$2:$A$43,'日期维表'!$F$2:$F$43,0)</x:f>
        <x:v>12</x:v>
      </x:c>
      <x:c r="N141" s="10" t="str">
        <x:f>XLOOKUP(B141,'产品维表'!$A$2:$A$5,'产品维表'!$B$2:$B$5,"未映射")</x:f>
        <x:v>H2</x:v>
      </x:c>
      <x:c r="O141" s="10" t="n">
        <x:f>C141+D141-F141-G141</x:f>
        <x:v>0</x:v>
      </x:c>
    </x:row>
    <x:row r="142" ht="15" hidden="0" customHeight="1">
      <x:c r="A142" s="10" t="n">
        <x:v>202412</x:v>
      </x:c>
      <x:c r="B142" s="10" t="n">
        <x:v>101</x:v>
      </x:c>
      <x:c r="C142" s="10" t="n">
        <x:v>79</x:v>
      </x:c>
      <x:c r="D142" s="10" t="n">
        <x:v>358</x:v>
      </x:c>
      <x:c r="E142" s="10" t="n">
        <x:v>359</x:v>
      </x:c>
      <x:c r="F142" s="10" t="n">
        <x:v>359</x:v>
      </x:c>
      <x:c r="G142" s="10" t="n">
        <x:v>78</x:v>
      </x:c>
      <x:c r="H142" s="10" t="n">
        <x:v>0</x:v>
      </x:c>
      <x:c r="I142" s="10" t="n">
        <x:v>141960</x:v>
      </x:c>
      <x:c r="J142" s="10" t="n">
        <x:v>524</x:v>
      </x:c>
      <x:c r="K142" s="10" t="n">
        <x:v>6.5</x:v>
      </x:c>
      <x:c r="L142" s="10" t="str">
        <x:v>偏低</x:v>
      </x:c>
      <x:c r="M142" s="10" t="n">
        <x:f>XLOOKUP(A142,'日期维表'!$A$2:$A$43,'日期维表'!$F$2:$F$43,0)</x:f>
        <x:v>12</x:v>
      </x:c>
      <x:c r="N142" s="10" t="str">
        <x:f>XLOOKUP(B142,'产品维表'!$A$2:$A$5,'产品维表'!$B$2:$B$5,"未映射")</x:f>
        <x:v>L1</x:v>
      </x:c>
      <x:c r="O142" s="10" t="n">
        <x:f>C142+D142-F142-G142</x:f>
        <x:v>0</x:v>
      </x:c>
    </x:row>
    <x:row r="143" ht="15" hidden="0" customHeight="1">
      <x:c r="A143" s="10" t="n">
        <x:v>202412</x:v>
      </x:c>
      <x:c r="B143" s="10" t="n">
        <x:v>102</x:v>
      </x:c>
      <x:c r="C143" s="10" t="n">
        <x:v>82</x:v>
      </x:c>
      <x:c r="D143" s="10" t="n">
        <x:v>177</x:v>
      </x:c>
      <x:c r="E143" s="10" t="n">
        <x:v>177</x:v>
      </x:c>
      <x:c r="F143" s="10" t="n">
        <x:v>177</x:v>
      </x:c>
      <x:c r="G143" s="10" t="n">
        <x:v>82</x:v>
      </x:c>
      <x:c r="H143" s="10" t="n">
        <x:v>0</x:v>
      </x:c>
      <x:c r="I143" s="10" t="n">
        <x:v>182860</x:v>
      </x:c>
      <x:c r="J143" s="10" t="n">
        <x:v>433</x:v>
      </x:c>
      <x:c r="K143" s="10" t="n">
        <x:v>13.9</x:v>
      </x:c>
      <x:c r="L143" s="10" t="str">
        <x:v>健康</x:v>
      </x:c>
      <x:c r="M143" s="10" t="n">
        <x:f>XLOOKUP(A143,'日期维表'!$A$2:$A$43,'日期维表'!$F$2:$F$43,0)</x:f>
        <x:v>12</x:v>
      </x:c>
      <x:c r="N143" s="10" t="str">
        <x:f>XLOOKUP(B143,'产品维表'!$A$2:$A$5,'产品维表'!$B$2:$B$5,"未映射")</x:f>
        <x:v>L2</x:v>
      </x:c>
      <x:c r="O143" s="10" t="n">
        <x:f>C143+D143-F143-G143</x:f>
        <x:v>0</x:v>
      </x:c>
    </x:row>
    <x:row r="144" ht="15" hidden="0" customHeight="1">
      <x:c r="A144" s="10" t="n">
        <x:v>202412</x:v>
      </x:c>
      <x:c r="B144" s="10" t="n">
        <x:v>201</x:v>
      </x:c>
      <x:c r="C144" s="10" t="n">
        <x:v>65</x:v>
      </x:c>
      <x:c r="D144" s="10" t="n">
        <x:v>0</x:v>
      </x:c>
      <x:c r="E144" s="10" t="n">
        <x:v>0</x:v>
      </x:c>
      <x:c r="F144" s="10" t="n">
        <x:v>0</x:v>
      </x:c>
      <x:c r="G144" s="10" t="n">
        <x:v>65</x:v>
      </x:c>
      <x:c r="H144" s="10" t="n">
        <x:v>0</x:v>
      </x:c>
      <x:c r="I144" s="10" t="n">
        <x:v>204750</x:v>
      </x:c>
      <x:c r="J144" s="10" t="n">
        <x:v>342</x:v>
      </x:c>
      <x:c r="K144" s="10" t="n">
        <x:v>90</x:v>
      </x:c>
      <x:c r="L144" s="10" t="str">
        <x:v>偏高</x:v>
      </x:c>
      <x:c r="M144" s="10" t="n">
        <x:f>XLOOKUP(A144,'日期维表'!$A$2:$A$43,'日期维表'!$F$2:$F$43,0)</x:f>
        <x:v>12</x:v>
      </x:c>
      <x:c r="N144" s="10" t="str">
        <x:f>XLOOKUP(B144,'产品维表'!$A$2:$A$5,'产品维表'!$B$2:$B$5,"未映射")</x:f>
        <x:v>H1</x:v>
      </x:c>
      <x:c r="O144" s="10" t="n">
        <x:f>C144+D144-F144-G144</x:f>
        <x:v>0</x:v>
      </x:c>
    </x:row>
    <x:row r="145" ht="15" hidden="0" customHeight="1">
      <x:c r="A145" s="10" t="n">
        <x:v>202412</x:v>
      </x:c>
      <x:c r="B145" s="10" t="n">
        <x:v>202</x:v>
      </x:c>
      <x:c r="C145" s="10" t="n">
        <x:v>65</x:v>
      </x:c>
      <x:c r="D145" s="10" t="n">
        <x:v>0</x:v>
      </x:c>
      <x:c r="E145" s="10" t="n">
        <x:v>0</x:v>
      </x:c>
      <x:c r="F145" s="10" t="n">
        <x:v>0</x:v>
      </x:c>
      <x:c r="G145" s="10" t="n">
        <x:v>65</x:v>
      </x:c>
      <x:c r="H145" s="10" t="n">
        <x:v>0</x:v>
      </x:c>
      <x:c r="I145" s="10" t="n">
        <x:v>248300</x:v>
      </x:c>
      <x:c r="J145" s="10" t="n">
        <x:v>251</x:v>
      </x:c>
      <x:c r="K145" s="10" t="n">
        <x:v>90</x:v>
      </x:c>
      <x:c r="L145" s="10" t="str">
        <x:v>偏高</x:v>
      </x:c>
      <x:c r="M145" s="10" t="n">
        <x:f>XLOOKUP(A145,'日期维表'!$A$2:$A$43,'日期维表'!$F$2:$F$43,0)</x:f>
        <x:v>12</x:v>
      </x:c>
      <x:c r="N145" s="10" t="str">
        <x:f>XLOOKUP(B145,'产品维表'!$A$2:$A$5,'产品维表'!$B$2:$B$5,"未映射")</x:f>
        <x:v>H2</x:v>
      </x:c>
      <x:c r="O145" s="10" t="n">
        <x:f>C145+D145-F145-G145</x:f>
        <x:v>0</x:v>
      </x:c>
    </x:row>
    <x:row r="146" ht="15" hidden="0" customHeight="1">
      <x:c r="A146" s="10" t="n">
        <x:v>202501</x:v>
      </x:c>
      <x:c r="B146" s="10" t="n">
        <x:v>101</x:v>
      </x:c>
      <x:c r="C146" s="10" t="n">
        <x:v>78</x:v>
      </x:c>
      <x:c r="D146" s="10" t="n">
        <x:v>353</x:v>
      </x:c>
      <x:c r="E146" s="10" t="n">
        <x:v>315</x:v>
      </x:c>
      <x:c r="F146" s="10" t="n">
        <x:v>315</x:v>
      </x:c>
      <x:c r="G146" s="10" t="n">
        <x:v>116</x:v>
      </x:c>
      <x:c r="H146" s="10" t="n">
        <x:v>0</x:v>
      </x:c>
      <x:c r="I146" s="10" t="n">
        <x:v>211120</x:v>
      </x:c>
      <x:c r="J146" s="10" t="n">
        <x:v>626</x:v>
      </x:c>
      <x:c r="K146" s="10" t="n">
        <x:v>11</x:v>
      </x:c>
      <x:c r="L146" s="10" t="str">
        <x:v>健康</x:v>
      </x:c>
      <x:c r="M146" s="10" t="n">
        <x:f>XLOOKUP(A146,'日期维表'!$A$2:$A$43,'日期维表'!$F$2:$F$43,0)</x:f>
        <x:v>13</x:v>
      </x:c>
      <x:c r="N146" s="10" t="str">
        <x:f>XLOOKUP(B146,'产品维表'!$A$2:$A$5,'产品维表'!$B$2:$B$5,"未映射")</x:f>
        <x:v>L1</x:v>
      </x:c>
      <x:c r="O146" s="10" t="n">
        <x:f>C146+D146-F146-G146</x:f>
        <x:v>0</x:v>
      </x:c>
    </x:row>
    <x:row r="147" ht="15" hidden="0" customHeight="1">
      <x:c r="A147" s="10" t="n">
        <x:v>202501</x:v>
      </x:c>
      <x:c r="B147" s="10" t="n">
        <x:v>102</x:v>
      </x:c>
      <x:c r="C147" s="10" t="n">
        <x:v>82</x:v>
      </x:c>
      <x:c r="D147" s="10" t="n">
        <x:v>280</x:v>
      </x:c>
      <x:c r="E147" s="10" t="n">
        <x:v>248</x:v>
      </x:c>
      <x:c r="F147" s="10" t="n">
        <x:v>248</x:v>
      </x:c>
      <x:c r="G147" s="10" t="n">
        <x:v>114</x:v>
      </x:c>
      <x:c r="H147" s="10" t="n">
        <x:v>0</x:v>
      </x:c>
      <x:c r="I147" s="10" t="n">
        <x:v>254220</x:v>
      </x:c>
      <x:c r="J147" s="10" t="n">
        <x:v>517</x:v>
      </x:c>
      <x:c r="K147" s="10" t="n">
        <x:v>13.8</x:v>
      </x:c>
      <x:c r="L147" s="10" t="str">
        <x:v>健康</x:v>
      </x:c>
      <x:c r="M147" s="10" t="n">
        <x:f>XLOOKUP(A147,'日期维表'!$A$2:$A$43,'日期维表'!$F$2:$F$43,0)</x:f>
        <x:v>13</x:v>
      </x:c>
      <x:c r="N147" s="10" t="str">
        <x:f>XLOOKUP(B147,'产品维表'!$A$2:$A$5,'产品维表'!$B$2:$B$5,"未映射")</x:f>
        <x:v>L2</x:v>
      </x:c>
      <x:c r="O147" s="10" t="n">
        <x:f>C147+D147-F147-G147</x:f>
        <x:v>0</x:v>
      </x:c>
    </x:row>
    <x:row r="148" ht="15" hidden="0" customHeight="1">
      <x:c r="A148" s="10" t="n">
        <x:v>202501</x:v>
      </x:c>
      <x:c r="B148" s="10" t="n">
        <x:v>201</x:v>
      </x:c>
      <x:c r="C148" s="10" t="n">
        <x:v>65</x:v>
      </x:c>
      <x:c r="D148" s="10" t="n">
        <x:v>0</x:v>
      </x:c>
      <x:c r="E148" s="10" t="n">
        <x:v>0</x:v>
      </x:c>
      <x:c r="F148" s="10" t="n">
        <x:v>0</x:v>
      </x:c>
      <x:c r="G148" s="10" t="n">
        <x:v>65</x:v>
      </x:c>
      <x:c r="H148" s="10" t="n">
        <x:v>0</x:v>
      </x:c>
      <x:c r="I148" s="10" t="n">
        <x:v>204750</x:v>
      </x:c>
      <x:c r="J148" s="10" t="n">
        <x:v>408</x:v>
      </x:c>
      <x:c r="K148" s="10" t="n">
        <x:v>90</x:v>
      </x:c>
      <x:c r="L148" s="10" t="str">
        <x:v>偏高</x:v>
      </x:c>
      <x:c r="M148" s="10" t="n">
        <x:f>XLOOKUP(A148,'日期维表'!$A$2:$A$43,'日期维表'!$F$2:$F$43,0)</x:f>
        <x:v>13</x:v>
      </x:c>
      <x:c r="N148" s="10" t="str">
        <x:f>XLOOKUP(B148,'产品维表'!$A$2:$A$5,'产品维表'!$B$2:$B$5,"未映射")</x:f>
        <x:v>H1</x:v>
      </x:c>
      <x:c r="O148" s="10" t="n">
        <x:f>C148+D148-F148-G148</x:f>
        <x:v>0</x:v>
      </x:c>
    </x:row>
    <x:row r="149" ht="15" hidden="0" customHeight="1">
      <x:c r="A149" s="10" t="n">
        <x:v>202501</x:v>
      </x:c>
      <x:c r="B149" s="10" t="n">
        <x:v>202</x:v>
      </x:c>
      <x:c r="C149" s="10" t="n">
        <x:v>65</x:v>
      </x:c>
      <x:c r="D149" s="10" t="n">
        <x:v>0</x:v>
      </x:c>
      <x:c r="E149" s="10" t="n">
        <x:v>0</x:v>
      </x:c>
      <x:c r="F149" s="10" t="n">
        <x:v>0</x:v>
      </x:c>
      <x:c r="G149" s="10" t="n">
        <x:v>65</x:v>
      </x:c>
      <x:c r="H149" s="10" t="n">
        <x:v>0</x:v>
      </x:c>
      <x:c r="I149" s="10" t="n">
        <x:v>248300</x:v>
      </x:c>
      <x:c r="J149" s="10" t="n">
        <x:v>299</x:v>
      </x:c>
      <x:c r="K149" s="10" t="n">
        <x:v>90</x:v>
      </x:c>
      <x:c r="L149" s="10" t="str">
        <x:v>偏高</x:v>
      </x:c>
      <x:c r="M149" s="10" t="n">
        <x:f>XLOOKUP(A149,'日期维表'!$A$2:$A$43,'日期维表'!$F$2:$F$43,0)</x:f>
        <x:v>13</x:v>
      </x:c>
      <x:c r="N149" s="10" t="str">
        <x:f>XLOOKUP(B149,'产品维表'!$A$2:$A$5,'产品维表'!$B$2:$B$5,"未映射")</x:f>
        <x:v>H2</x:v>
      </x:c>
      <x:c r="O149" s="10" t="n">
        <x:f>C149+D149-F149-G149</x:f>
        <x:v>0</x:v>
      </x:c>
    </x:row>
    <x:row r="150" ht="15" hidden="0" customHeight="1">
      <x:c r="A150" s="10" t="n">
        <x:v>202502</x:v>
      </x:c>
      <x:c r="B150" s="10" t="n">
        <x:v>101</x:v>
      </x:c>
      <x:c r="C150" s="10" t="n">
        <x:v>116</x:v>
      </x:c>
      <x:c r="D150" s="10" t="n">
        <x:v>336</x:v>
      </x:c>
      <x:c r="E150" s="10" t="n">
        <x:v>336</x:v>
      </x:c>
      <x:c r="F150" s="10" t="n">
        <x:v>336</x:v>
      </x:c>
      <x:c r="G150" s="10" t="n">
        <x:v>116</x:v>
      </x:c>
      <x:c r="H150" s="10" t="n">
        <x:v>0</x:v>
      </x:c>
      <x:c r="I150" s="10" t="n">
        <x:v>211120</x:v>
      </x:c>
      <x:c r="J150" s="10" t="n">
        <x:v>626</x:v>
      </x:c>
      <x:c r="K150" s="10" t="n">
        <x:v>10.4</x:v>
      </x:c>
      <x:c r="L150" s="10" t="str">
        <x:v>健康</x:v>
      </x:c>
      <x:c r="M150" s="10" t="n">
        <x:f>XLOOKUP(A150,'日期维表'!$A$2:$A$43,'日期维表'!$F$2:$F$43,0)</x:f>
        <x:v>13</x:v>
      </x:c>
      <x:c r="N150" s="10" t="str">
        <x:f>XLOOKUP(B150,'产品维表'!$A$2:$A$5,'产品维表'!$B$2:$B$5,"未映射")</x:f>
        <x:v>L1</x:v>
      </x:c>
      <x:c r="O150" s="10" t="n">
        <x:f>C150+D150-F150-G150</x:f>
        <x:v>0</x:v>
      </x:c>
    </x:row>
    <x:row r="151" ht="15" hidden="0" customHeight="1">
      <x:c r="A151" s="10" t="n">
        <x:v>202502</x:v>
      </x:c>
      <x:c r="B151" s="10" t="n">
        <x:v>102</x:v>
      </x:c>
      <x:c r="C151" s="10" t="n">
        <x:v>114</x:v>
      </x:c>
      <x:c r="D151" s="10" t="n">
        <x:v>314</x:v>
      </x:c>
      <x:c r="E151" s="10" t="n">
        <x:v>315</x:v>
      </x:c>
      <x:c r="F151" s="10" t="n">
        <x:v>315</x:v>
      </x:c>
      <x:c r="G151" s="10" t="n">
        <x:v>113</x:v>
      </x:c>
      <x:c r="H151" s="10" t="n">
        <x:v>0</x:v>
      </x:c>
      <x:c r="I151" s="10" t="n">
        <x:v>251990</x:v>
      </x:c>
      <x:c r="J151" s="10" t="n">
        <x:v>517</x:v>
      </x:c>
      <x:c r="K151" s="10" t="n">
        <x:v>10.8</x:v>
      </x:c>
      <x:c r="L151" s="10" t="str">
        <x:v>健康</x:v>
      </x:c>
      <x:c r="M151" s="10" t="n">
        <x:f>XLOOKUP(A151,'日期维表'!$A$2:$A$43,'日期维表'!$F$2:$F$43,0)</x:f>
        <x:v>13</x:v>
      </x:c>
      <x:c r="N151" s="10" t="str">
        <x:f>XLOOKUP(B151,'产品维表'!$A$2:$A$5,'产品维表'!$B$2:$B$5,"未映射")</x:f>
        <x:v>L2</x:v>
      </x:c>
      <x:c r="O151" s="10" t="n">
        <x:f>C151+D151-F151-G151</x:f>
        <x:v>0</x:v>
      </x:c>
    </x:row>
    <x:row r="152" ht="15" hidden="0" customHeight="1">
      <x:c r="A152" s="10" t="n">
        <x:v>202502</x:v>
      </x:c>
      <x:c r="B152" s="10" t="n">
        <x:v>201</x:v>
      </x:c>
      <x:c r="C152" s="10" t="n">
        <x:v>65</x:v>
      </x:c>
      <x:c r="D152" s="10" t="n">
        <x:v>0</x:v>
      </x:c>
      <x:c r="E152" s="10" t="n">
        <x:v>0</x:v>
      </x:c>
      <x:c r="F152" s="10" t="n">
        <x:v>0</x:v>
      </x:c>
      <x:c r="G152" s="10" t="n">
        <x:v>65</x:v>
      </x:c>
      <x:c r="H152" s="10" t="n">
        <x:v>0</x:v>
      </x:c>
      <x:c r="I152" s="10" t="n">
        <x:v>204750</x:v>
      </x:c>
      <x:c r="J152" s="10" t="n">
        <x:v>408</x:v>
      </x:c>
      <x:c r="K152" s="10" t="n">
        <x:v>90</x:v>
      </x:c>
      <x:c r="L152" s="10" t="str">
        <x:v>偏高</x:v>
      </x:c>
      <x:c r="M152" s="10" t="n">
        <x:f>XLOOKUP(A152,'日期维表'!$A$2:$A$43,'日期维表'!$F$2:$F$43,0)</x:f>
        <x:v>13</x:v>
      </x:c>
      <x:c r="N152" s="10" t="str">
        <x:f>XLOOKUP(B152,'产品维表'!$A$2:$A$5,'产品维表'!$B$2:$B$5,"未映射")</x:f>
        <x:v>H1</x:v>
      </x:c>
      <x:c r="O152" s="10" t="n">
        <x:f>C152+D152-F152-G152</x:f>
        <x:v>0</x:v>
      </x:c>
    </x:row>
    <x:row r="153" ht="15" hidden="0" customHeight="1">
      <x:c r="A153" s="10" t="n">
        <x:v>202502</x:v>
      </x:c>
      <x:c r="B153" s="10" t="n">
        <x:v>202</x:v>
      </x:c>
      <x:c r="C153" s="10" t="n">
        <x:v>65</x:v>
      </x:c>
      <x:c r="D153" s="10" t="n">
        <x:v>0</x:v>
      </x:c>
      <x:c r="E153" s="10" t="n">
        <x:v>0</x:v>
      </x:c>
      <x:c r="F153" s="10" t="n">
        <x:v>0</x:v>
      </x:c>
      <x:c r="G153" s="10" t="n">
        <x:v>65</x:v>
      </x:c>
      <x:c r="H153" s="10" t="n">
        <x:v>0</x:v>
      </x:c>
      <x:c r="I153" s="10" t="n">
        <x:v>248300</x:v>
      </x:c>
      <x:c r="J153" s="10" t="n">
        <x:v>299</x:v>
      </x:c>
      <x:c r="K153" s="10" t="n">
        <x:v>90</x:v>
      </x:c>
      <x:c r="L153" s="10" t="str">
        <x:v>偏高</x:v>
      </x:c>
      <x:c r="M153" s="10" t="n">
        <x:f>XLOOKUP(A153,'日期维表'!$A$2:$A$43,'日期维表'!$F$2:$F$43,0)</x:f>
        <x:v>13</x:v>
      </x:c>
      <x:c r="N153" s="10" t="str">
        <x:f>XLOOKUP(B153,'产品维表'!$A$2:$A$5,'产品维表'!$B$2:$B$5,"未映射")</x:f>
        <x:v>H2</x:v>
      </x:c>
      <x:c r="O153" s="10" t="n">
        <x:f>C153+D153-F153-G153</x:f>
        <x:v>0</x:v>
      </x:c>
    </x:row>
    <x:row r="154" ht="15" hidden="0" customHeight="1">
      <x:c r="A154" s="10" t="n">
        <x:v>202503</x:v>
      </x:c>
      <x:c r="B154" s="10" t="n">
        <x:v>101</x:v>
      </x:c>
      <x:c r="C154" s="10" t="n">
        <x:v>116</x:v>
      </x:c>
      <x:c r="D154" s="10" t="n">
        <x:v>404</x:v>
      </x:c>
      <x:c r="E154" s="10" t="n">
        <x:v>469</x:v>
      </x:c>
      <x:c r="F154" s="10" t="n">
        <x:v>469</x:v>
      </x:c>
      <x:c r="G154" s="10" t="n">
        <x:v>51</x:v>
      </x:c>
      <x:c r="H154" s="10" t="n">
        <x:v>0</x:v>
      </x:c>
      <x:c r="I154" s="10" t="n">
        <x:v>92820</x:v>
      </x:c>
      <x:c r="J154" s="10" t="n">
        <x:v>626</x:v>
      </x:c>
      <x:c r="K154" s="10" t="n">
        <x:v>3.3</x:v>
      </x:c>
      <x:c r="L154" s="10" t="str">
        <x:v>偏低</x:v>
      </x:c>
      <x:c r="M154" s="10" t="n">
        <x:f>XLOOKUP(A154,'日期维表'!$A$2:$A$43,'日期维表'!$F$2:$F$43,0)</x:f>
        <x:v>13</x:v>
      </x:c>
      <x:c r="N154" s="10" t="str">
        <x:f>XLOOKUP(B154,'产品维表'!$A$2:$A$5,'产品维表'!$B$2:$B$5,"未映射")</x:f>
        <x:v>L1</x:v>
      </x:c>
      <x:c r="O154" s="10" t="n">
        <x:f>C154+D154-F154-G154</x:f>
        <x:v>0</x:v>
      </x:c>
    </x:row>
    <x:row r="155" ht="15" hidden="0" customHeight="1">
      <x:c r="A155" s="10" t="n">
        <x:v>202503</x:v>
      </x:c>
      <x:c r="B155" s="10" t="n">
        <x:v>102</x:v>
      </x:c>
      <x:c r="C155" s="10" t="n">
        <x:v>113</x:v>
      </x:c>
      <x:c r="D155" s="10" t="n">
        <x:v>282</x:v>
      </x:c>
      <x:c r="E155" s="10" t="n">
        <x:v>321</x:v>
      </x:c>
      <x:c r="F155" s="10" t="n">
        <x:v>321</x:v>
      </x:c>
      <x:c r="G155" s="10" t="n">
        <x:v>74</x:v>
      </x:c>
      <x:c r="H155" s="10" t="n">
        <x:v>0</x:v>
      </x:c>
      <x:c r="I155" s="10" t="n">
        <x:v>165020</x:v>
      </x:c>
      <x:c r="J155" s="10" t="n">
        <x:v>517</x:v>
      </x:c>
      <x:c r="K155" s="10" t="n">
        <x:v>6.9</x:v>
      </x:c>
      <x:c r="L155" s="10" t="str">
        <x:v>偏低</x:v>
      </x:c>
      <x:c r="M155" s="10" t="n">
        <x:f>XLOOKUP(A155,'日期维表'!$A$2:$A$43,'日期维表'!$F$2:$F$43,0)</x:f>
        <x:v>13</x:v>
      </x:c>
      <x:c r="N155" s="10" t="str">
        <x:f>XLOOKUP(B155,'产品维表'!$A$2:$A$5,'产品维表'!$B$2:$B$5,"未映射")</x:f>
        <x:v>L2</x:v>
      </x:c>
      <x:c r="O155" s="10" t="n">
        <x:f>C155+D155-F155-G155</x:f>
        <x:v>0</x:v>
      </x:c>
    </x:row>
    <x:row r="156" ht="15" hidden="0" customHeight="1">
      <x:c r="A156" s="10" t="n">
        <x:v>202503</x:v>
      </x:c>
      <x:c r="B156" s="10" t="n">
        <x:v>201</x:v>
      </x:c>
      <x:c r="C156" s="10" t="n">
        <x:v>65</x:v>
      </x:c>
      <x:c r="D156" s="10" t="n">
        <x:v>0</x:v>
      </x:c>
      <x:c r="E156" s="10" t="n">
        <x:v>0</x:v>
      </x:c>
      <x:c r="F156" s="10" t="n">
        <x:v>0</x:v>
      </x:c>
      <x:c r="G156" s="10" t="n">
        <x:v>65</x:v>
      </x:c>
      <x:c r="H156" s="10" t="n">
        <x:v>0</x:v>
      </x:c>
      <x:c r="I156" s="10" t="n">
        <x:v>204750</x:v>
      </x:c>
      <x:c r="J156" s="10" t="n">
        <x:v>408</x:v>
      </x:c>
      <x:c r="K156" s="10" t="n">
        <x:v>90</x:v>
      </x:c>
      <x:c r="L156" s="10" t="str">
        <x:v>偏高</x:v>
      </x:c>
      <x:c r="M156" s="10" t="n">
        <x:f>XLOOKUP(A156,'日期维表'!$A$2:$A$43,'日期维表'!$F$2:$F$43,0)</x:f>
        <x:v>13</x:v>
      </x:c>
      <x:c r="N156" s="10" t="str">
        <x:f>XLOOKUP(B156,'产品维表'!$A$2:$A$5,'产品维表'!$B$2:$B$5,"未映射")</x:f>
        <x:v>H1</x:v>
      </x:c>
      <x:c r="O156" s="10" t="n">
        <x:f>C156+D156-F156-G156</x:f>
        <x:v>0</x:v>
      </x:c>
    </x:row>
    <x:row r="157" ht="15" hidden="0" customHeight="1">
      <x:c r="A157" s="10" t="n">
        <x:v>202503</x:v>
      </x:c>
      <x:c r="B157" s="10" t="n">
        <x:v>202</x:v>
      </x:c>
      <x:c r="C157" s="10" t="n">
        <x:v>65</x:v>
      </x:c>
      <x:c r="D157" s="10" t="n">
        <x:v>0</x:v>
      </x:c>
      <x:c r="E157" s="10" t="n">
        <x:v>0</x:v>
      </x:c>
      <x:c r="F157" s="10" t="n">
        <x:v>0</x:v>
      </x:c>
      <x:c r="G157" s="10" t="n">
        <x:v>65</x:v>
      </x:c>
      <x:c r="H157" s="10" t="n">
        <x:v>0</x:v>
      </x:c>
      <x:c r="I157" s="10" t="n">
        <x:v>248300</x:v>
      </x:c>
      <x:c r="J157" s="10" t="n">
        <x:v>299</x:v>
      </x:c>
      <x:c r="K157" s="10" t="n">
        <x:v>90</x:v>
      </x:c>
      <x:c r="L157" s="10" t="str">
        <x:v>偏高</x:v>
      </x:c>
      <x:c r="M157" s="10" t="n">
        <x:f>XLOOKUP(A157,'日期维表'!$A$2:$A$43,'日期维表'!$F$2:$F$43,0)</x:f>
        <x:v>13</x:v>
      </x:c>
      <x:c r="N157" s="10" t="str">
        <x:f>XLOOKUP(B157,'产品维表'!$A$2:$A$5,'产品维表'!$B$2:$B$5,"未映射")</x:f>
        <x:v>H2</x:v>
      </x:c>
      <x:c r="O157" s="10" t="n">
        <x:f>C157+D157-F157-G157</x:f>
        <x:v>0</x:v>
      </x:c>
    </x:row>
    <x:row r="158" ht="15" hidden="0" customHeight="1">
      <x:c r="A158" s="10" t="n">
        <x:v>202504</x:v>
      </x:c>
      <x:c r="B158" s="10" t="n">
        <x:v>101</x:v>
      </x:c>
      <x:c r="C158" s="10" t="n">
        <x:v>51</x:v>
      </x:c>
      <x:c r="D158" s="10" t="n">
        <x:v>601</x:v>
      </x:c>
      <x:c r="E158" s="10" t="n">
        <x:v>575</x:v>
      </x:c>
      <x:c r="F158" s="10" t="n">
        <x:v>575</x:v>
      </x:c>
      <x:c r="G158" s="10" t="n">
        <x:v>77</x:v>
      </x:c>
      <x:c r="H158" s="10" t="n">
        <x:v>0</x:v>
      </x:c>
      <x:c r="I158" s="10" t="n">
        <x:v>140140</x:v>
      </x:c>
      <x:c r="J158" s="10" t="n">
        <x:v>626</x:v>
      </x:c>
      <x:c r="K158" s="10" t="n">
        <x:v>4</x:v>
      </x:c>
      <x:c r="L158" s="10" t="str">
        <x:v>偏低</x:v>
      </x:c>
      <x:c r="M158" s="10" t="n">
        <x:f>XLOOKUP(A158,'日期维表'!$A$2:$A$43,'日期维表'!$F$2:$F$43,0)</x:f>
        <x:v>14</x:v>
      </x:c>
      <x:c r="N158" s="10" t="str">
        <x:f>XLOOKUP(B158,'产品维表'!$A$2:$A$5,'产品维表'!$B$2:$B$5,"未映射")</x:f>
        <x:v>L1</x:v>
      </x:c>
      <x:c r="O158" s="10" t="n">
        <x:f>C158+D158-F158-G158</x:f>
        <x:v>0</x:v>
      </x:c>
    </x:row>
    <x:row r="159" ht="15" hidden="0" customHeight="1">
      <x:c r="A159" s="10" t="n">
        <x:v>202504</x:v>
      </x:c>
      <x:c r="B159" s="10" t="n">
        <x:v>102</x:v>
      </x:c>
      <x:c r="C159" s="10" t="n">
        <x:v>74</x:v>
      </x:c>
      <x:c r="D159" s="10" t="n">
        <x:v>298</x:v>
      </x:c>
      <x:c r="E159" s="10" t="n">
        <x:v>291</x:v>
      </x:c>
      <x:c r="F159" s="10" t="n">
        <x:v>291</x:v>
      </x:c>
      <x:c r="G159" s="10" t="n">
        <x:v>81</x:v>
      </x:c>
      <x:c r="H159" s="10" t="n">
        <x:v>0</x:v>
      </x:c>
      <x:c r="I159" s="10" t="n">
        <x:v>180630</x:v>
      </x:c>
      <x:c r="J159" s="10" t="n">
        <x:v>517</x:v>
      </x:c>
      <x:c r="K159" s="10" t="n">
        <x:v>8.4</x:v>
      </x:c>
      <x:c r="L159" s="10" t="str">
        <x:v>健康</x:v>
      </x:c>
      <x:c r="M159" s="10" t="n">
        <x:f>XLOOKUP(A159,'日期维表'!$A$2:$A$43,'日期维表'!$F$2:$F$43,0)</x:f>
        <x:v>14</x:v>
      </x:c>
      <x:c r="N159" s="10" t="str">
        <x:f>XLOOKUP(B159,'产品维表'!$A$2:$A$5,'产品维表'!$B$2:$B$5,"未映射")</x:f>
        <x:v>L2</x:v>
      </x:c>
      <x:c r="O159" s="10" t="n">
        <x:f>C159+D159-F159-G159</x:f>
        <x:v>0</x:v>
      </x:c>
    </x:row>
    <x:row r="160" ht="15" hidden="0" customHeight="1">
      <x:c r="A160" s="10" t="n">
        <x:v>202504</x:v>
      </x:c>
      <x:c r="B160" s="10" t="n">
        <x:v>201</x:v>
      </x:c>
      <x:c r="C160" s="10" t="n">
        <x:v>65</x:v>
      </x:c>
      <x:c r="D160" s="10" t="n">
        <x:v>0</x:v>
      </x:c>
      <x:c r="E160" s="10" t="n">
        <x:v>0</x:v>
      </x:c>
      <x:c r="F160" s="10" t="n">
        <x:v>0</x:v>
      </x:c>
      <x:c r="G160" s="10" t="n">
        <x:v>65</x:v>
      </x:c>
      <x:c r="H160" s="10" t="n">
        <x:v>0</x:v>
      </x:c>
      <x:c r="I160" s="10" t="n">
        <x:v>204750</x:v>
      </x:c>
      <x:c r="J160" s="10" t="n">
        <x:v>408</x:v>
      </x:c>
      <x:c r="K160" s="10" t="n">
        <x:v>90</x:v>
      </x:c>
      <x:c r="L160" s="10" t="str">
        <x:v>偏高</x:v>
      </x:c>
      <x:c r="M160" s="10" t="n">
        <x:f>XLOOKUP(A160,'日期维表'!$A$2:$A$43,'日期维表'!$F$2:$F$43,0)</x:f>
        <x:v>14</x:v>
      </x:c>
      <x:c r="N160" s="10" t="str">
        <x:f>XLOOKUP(B160,'产品维表'!$A$2:$A$5,'产品维表'!$B$2:$B$5,"未映射")</x:f>
        <x:v>H1</x:v>
      </x:c>
      <x:c r="O160" s="10" t="n">
        <x:f>C160+D160-F160-G160</x:f>
        <x:v>0</x:v>
      </x:c>
    </x:row>
    <x:row r="161" ht="15" hidden="0" customHeight="1">
      <x:c r="A161" s="10" t="n">
        <x:v>202504</x:v>
      </x:c>
      <x:c r="B161" s="10" t="n">
        <x:v>202</x:v>
      </x:c>
      <x:c r="C161" s="10" t="n">
        <x:v>65</x:v>
      </x:c>
      <x:c r="D161" s="10" t="n">
        <x:v>0</x:v>
      </x:c>
      <x:c r="E161" s="10" t="n">
        <x:v>0</x:v>
      </x:c>
      <x:c r="F161" s="10" t="n">
        <x:v>0</x:v>
      </x:c>
      <x:c r="G161" s="10" t="n">
        <x:v>65</x:v>
      </x:c>
      <x:c r="H161" s="10" t="n">
        <x:v>0</x:v>
      </x:c>
      <x:c r="I161" s="10" t="n">
        <x:v>248300</x:v>
      </x:c>
      <x:c r="J161" s="10" t="n">
        <x:v>299</x:v>
      </x:c>
      <x:c r="K161" s="10" t="n">
        <x:v>90</x:v>
      </x:c>
      <x:c r="L161" s="10" t="str">
        <x:v>偏高</x:v>
      </x:c>
      <x:c r="M161" s="10" t="n">
        <x:f>XLOOKUP(A161,'日期维表'!$A$2:$A$43,'日期维表'!$F$2:$F$43,0)</x:f>
        <x:v>14</x:v>
      </x:c>
      <x:c r="N161" s="10" t="str">
        <x:f>XLOOKUP(B161,'产品维表'!$A$2:$A$5,'产品维表'!$B$2:$B$5,"未映射")</x:f>
        <x:v>H2</x:v>
      </x:c>
      <x:c r="O161" s="10" t="n">
        <x:f>C161+D161-F161-G161</x:f>
        <x:v>0</x:v>
      </x:c>
    </x:row>
    <x:row r="162" ht="15" hidden="0" customHeight="1">
      <x:c r="A162" s="10" t="n">
        <x:v>202505</x:v>
      </x:c>
      <x:c r="B162" s="10" t="n">
        <x:v>101</x:v>
      </x:c>
      <x:c r="C162" s="10" t="n">
        <x:v>77</x:v>
      </x:c>
      <x:c r="D162" s="10" t="n">
        <x:v>341</x:v>
      </x:c>
      <x:c r="E162" s="10" t="n">
        <x:v>337</x:v>
      </x:c>
      <x:c r="F162" s="10" t="n">
        <x:v>337</x:v>
      </x:c>
      <x:c r="G162" s="10" t="n">
        <x:v>81</x:v>
      </x:c>
      <x:c r="H162" s="10" t="n">
        <x:v>0</x:v>
      </x:c>
      <x:c r="I162" s="10" t="n">
        <x:v>147420</x:v>
      </x:c>
      <x:c r="J162" s="10" t="n">
        <x:v>626</x:v>
      </x:c>
      <x:c r="K162" s="10" t="n">
        <x:v>7.2</x:v>
      </x:c>
      <x:c r="L162" s="10" t="str">
        <x:v>偏低</x:v>
      </x:c>
      <x:c r="M162" s="10" t="n">
        <x:f>XLOOKUP(A162,'日期维表'!$A$2:$A$43,'日期维表'!$F$2:$F$43,0)</x:f>
        <x:v>14</x:v>
      </x:c>
      <x:c r="N162" s="10" t="str">
        <x:f>XLOOKUP(B162,'产品维表'!$A$2:$A$5,'产品维表'!$B$2:$B$5,"未映射")</x:f>
        <x:v>L1</x:v>
      </x:c>
      <x:c r="O162" s="10" t="n">
        <x:f>C162+D162-F162-G162</x:f>
        <x:v>0</x:v>
      </x:c>
    </x:row>
    <x:row r="163" ht="15" hidden="0" customHeight="1">
      <x:c r="A163" s="10" t="n">
        <x:v>202505</x:v>
      </x:c>
      <x:c r="B163" s="10" t="n">
        <x:v>102</x:v>
      </x:c>
      <x:c r="C163" s="10" t="n">
        <x:v>81</x:v>
      </x:c>
      <x:c r="D163" s="10" t="n">
        <x:v>443</x:v>
      </x:c>
      <x:c r="E163" s="10" t="n">
        <x:v>449</x:v>
      </x:c>
      <x:c r="F163" s="10" t="n">
        <x:v>449</x:v>
      </x:c>
      <x:c r="G163" s="10" t="n">
        <x:v>75</x:v>
      </x:c>
      <x:c r="H163" s="10" t="n">
        <x:v>0</x:v>
      </x:c>
      <x:c r="I163" s="10" t="n">
        <x:v>167250</x:v>
      </x:c>
      <x:c r="J163" s="10" t="n">
        <x:v>517</x:v>
      </x:c>
      <x:c r="K163" s="10" t="n">
        <x:v>5</x:v>
      </x:c>
      <x:c r="L163" s="10" t="str">
        <x:v>偏低</x:v>
      </x:c>
      <x:c r="M163" s="10" t="n">
        <x:f>XLOOKUP(A163,'日期维表'!$A$2:$A$43,'日期维表'!$F$2:$F$43,0)</x:f>
        <x:v>14</x:v>
      </x:c>
      <x:c r="N163" s="10" t="str">
        <x:f>XLOOKUP(B163,'产品维表'!$A$2:$A$5,'产品维表'!$B$2:$B$5,"未映射")</x:f>
        <x:v>L2</x:v>
      </x:c>
      <x:c r="O163" s="10" t="n">
        <x:f>C163+D163-F163-G163</x:f>
        <x:v>0</x:v>
      </x:c>
    </x:row>
    <x:row r="164" ht="15" hidden="0" customHeight="1">
      <x:c r="A164" s="10" t="n">
        <x:v>202505</x:v>
      </x:c>
      <x:c r="B164" s="10" t="n">
        <x:v>201</x:v>
      </x:c>
      <x:c r="C164" s="10" t="n">
        <x:v>65</x:v>
      </x:c>
      <x:c r="D164" s="10" t="n">
        <x:v>0</x:v>
      </x:c>
      <x:c r="E164" s="10" t="n">
        <x:v>0</x:v>
      </x:c>
      <x:c r="F164" s="10" t="n">
        <x:v>0</x:v>
      </x:c>
      <x:c r="G164" s="10" t="n">
        <x:v>65</x:v>
      </x:c>
      <x:c r="H164" s="10" t="n">
        <x:v>0</x:v>
      </x:c>
      <x:c r="I164" s="10" t="n">
        <x:v>204750</x:v>
      </x:c>
      <x:c r="J164" s="10" t="n">
        <x:v>408</x:v>
      </x:c>
      <x:c r="K164" s="10" t="n">
        <x:v>90</x:v>
      </x:c>
      <x:c r="L164" s="10" t="str">
        <x:v>偏高</x:v>
      </x:c>
      <x:c r="M164" s="10" t="n">
        <x:f>XLOOKUP(A164,'日期维表'!$A$2:$A$43,'日期维表'!$F$2:$F$43,0)</x:f>
        <x:v>14</x:v>
      </x:c>
      <x:c r="N164" s="10" t="str">
        <x:f>XLOOKUP(B164,'产品维表'!$A$2:$A$5,'产品维表'!$B$2:$B$5,"未映射")</x:f>
        <x:v>H1</x:v>
      </x:c>
      <x:c r="O164" s="10" t="n">
        <x:f>C164+D164-F164-G164</x:f>
        <x:v>0</x:v>
      </x:c>
    </x:row>
    <x:row r="165" ht="15" hidden="0" customHeight="1">
      <x:c r="A165" s="10" t="n">
        <x:v>202505</x:v>
      </x:c>
      <x:c r="B165" s="10" t="n">
        <x:v>202</x:v>
      </x:c>
      <x:c r="C165" s="10" t="n">
        <x:v>65</x:v>
      </x:c>
      <x:c r="D165" s="10" t="n">
        <x:v>0</x:v>
      </x:c>
      <x:c r="E165" s="10" t="n">
        <x:v>0</x:v>
      </x:c>
      <x:c r="F165" s="10" t="n">
        <x:v>0</x:v>
      </x:c>
      <x:c r="G165" s="10" t="n">
        <x:v>65</x:v>
      </x:c>
      <x:c r="H165" s="10" t="n">
        <x:v>0</x:v>
      </x:c>
      <x:c r="I165" s="10" t="n">
        <x:v>248300</x:v>
      </x:c>
      <x:c r="J165" s="10" t="n">
        <x:v>299</x:v>
      </x:c>
      <x:c r="K165" s="10" t="n">
        <x:v>90</x:v>
      </x:c>
      <x:c r="L165" s="10" t="str">
        <x:v>偏高</x:v>
      </x:c>
      <x:c r="M165" s="10" t="n">
        <x:f>XLOOKUP(A165,'日期维表'!$A$2:$A$43,'日期维表'!$F$2:$F$43,0)</x:f>
        <x:v>14</x:v>
      </x:c>
      <x:c r="N165" s="10" t="str">
        <x:f>XLOOKUP(B165,'产品维表'!$A$2:$A$5,'产品维表'!$B$2:$B$5,"未映射")</x:f>
        <x:v>H2</x:v>
      </x:c>
      <x:c r="O165" s="10" t="n">
        <x:f>C165+D165-F165-G165</x:f>
        <x:v>0</x:v>
      </x:c>
    </x:row>
    <x:row r="166" ht="15" hidden="0" customHeight="1">
      <x:c r="A166" s="10" t="n">
        <x:v>202506</x:v>
      </x:c>
      <x:c r="B166" s="10" t="n">
        <x:v>101</x:v>
      </x:c>
      <x:c r="C166" s="10" t="n">
        <x:v>81</x:v>
      </x:c>
      <x:c r="D166" s="10" t="n">
        <x:v>527</x:v>
      </x:c>
      <x:c r="E166" s="10" t="n">
        <x:v>564</x:v>
      </x:c>
      <x:c r="F166" s="10" t="n">
        <x:v>564</x:v>
      </x:c>
      <x:c r="G166" s="10" t="n">
        <x:v>44</x:v>
      </x:c>
      <x:c r="H166" s="10" t="n">
        <x:v>0</x:v>
      </x:c>
      <x:c r="I166" s="10" t="n">
        <x:v>80080</x:v>
      </x:c>
      <x:c r="J166" s="10" t="n">
        <x:v>626</x:v>
      </x:c>
      <x:c r="K166" s="10" t="n">
        <x:v>2.3</x:v>
      </x:c>
      <x:c r="L166" s="10" t="str">
        <x:v>偏低</x:v>
      </x:c>
      <x:c r="M166" s="10" t="n">
        <x:f>XLOOKUP(A166,'日期维表'!$A$2:$A$43,'日期维表'!$F$2:$F$43,0)</x:f>
        <x:v>14</x:v>
      </x:c>
      <x:c r="N166" s="10" t="str">
        <x:f>XLOOKUP(B166,'产品维表'!$A$2:$A$5,'产品维表'!$B$2:$B$5,"未映射")</x:f>
        <x:v>L1</x:v>
      </x:c>
      <x:c r="O166" s="10" t="n">
        <x:f>C166+D166-F166-G166</x:f>
        <x:v>0</x:v>
      </x:c>
    </x:row>
    <x:row r="167" ht="15" hidden="0" customHeight="1">
      <x:c r="A167" s="10" t="n">
        <x:v>202506</x:v>
      </x:c>
      <x:c r="B167" s="10" t="n">
        <x:v>102</x:v>
      </x:c>
      <x:c r="C167" s="10" t="n">
        <x:v>75</x:v>
      </x:c>
      <x:c r="D167" s="10" t="n">
        <x:v>434</x:v>
      </x:c>
      <x:c r="E167" s="10" t="n">
        <x:v>456</x:v>
      </x:c>
      <x:c r="F167" s="10" t="n">
        <x:v>456</x:v>
      </x:c>
      <x:c r="G167" s="10" t="n">
        <x:v>53</x:v>
      </x:c>
      <x:c r="H167" s="10" t="n">
        <x:v>0</x:v>
      </x:c>
      <x:c r="I167" s="10" t="n">
        <x:v>118190</x:v>
      </x:c>
      <x:c r="J167" s="10" t="n">
        <x:v>517</x:v>
      </x:c>
      <x:c r="K167" s="10" t="n">
        <x:v>3.5</x:v>
      </x:c>
      <x:c r="L167" s="10" t="str">
        <x:v>偏低</x:v>
      </x:c>
      <x:c r="M167" s="10" t="n">
        <x:f>XLOOKUP(A167,'日期维表'!$A$2:$A$43,'日期维表'!$F$2:$F$43,0)</x:f>
        <x:v>14</x:v>
      </x:c>
      <x:c r="N167" s="10" t="str">
        <x:f>XLOOKUP(B167,'产品维表'!$A$2:$A$5,'产品维表'!$B$2:$B$5,"未映射")</x:f>
        <x:v>L2</x:v>
      </x:c>
      <x:c r="O167" s="10" t="n">
        <x:f>C167+D167-F167-G167</x:f>
        <x:v>0</x:v>
      </x:c>
    </x:row>
    <x:row r="168" ht="15" hidden="0" customHeight="1">
      <x:c r="A168" s="10" t="n">
        <x:v>202506</x:v>
      </x:c>
      <x:c r="B168" s="10" t="n">
        <x:v>201</x:v>
      </x:c>
      <x:c r="C168" s="10" t="n">
        <x:v>65</x:v>
      </x:c>
      <x:c r="D168" s="10" t="n">
        <x:v>0</x:v>
      </x:c>
      <x:c r="E168" s="10" t="n">
        <x:v>0</x:v>
      </x:c>
      <x:c r="F168" s="10" t="n">
        <x:v>0</x:v>
      </x:c>
      <x:c r="G168" s="10" t="n">
        <x:v>65</x:v>
      </x:c>
      <x:c r="H168" s="10" t="n">
        <x:v>0</x:v>
      </x:c>
      <x:c r="I168" s="10" t="n">
        <x:v>204750</x:v>
      </x:c>
      <x:c r="J168" s="10" t="n">
        <x:v>408</x:v>
      </x:c>
      <x:c r="K168" s="10" t="n">
        <x:v>90</x:v>
      </x:c>
      <x:c r="L168" s="10" t="str">
        <x:v>偏高</x:v>
      </x:c>
      <x:c r="M168" s="10" t="n">
        <x:f>XLOOKUP(A168,'日期维表'!$A$2:$A$43,'日期维表'!$F$2:$F$43,0)</x:f>
        <x:v>14</x:v>
      </x:c>
      <x:c r="N168" s="10" t="str">
        <x:f>XLOOKUP(B168,'产品维表'!$A$2:$A$5,'产品维表'!$B$2:$B$5,"未映射")</x:f>
        <x:v>H1</x:v>
      </x:c>
      <x:c r="O168" s="10" t="n">
        <x:f>C168+D168-F168-G168</x:f>
        <x:v>0</x:v>
      </x:c>
    </x:row>
    <x:row r="169" ht="15" hidden="0" customHeight="1">
      <x:c r="A169" s="10" t="n">
        <x:v>202506</x:v>
      </x:c>
      <x:c r="B169" s="10" t="n">
        <x:v>202</x:v>
      </x:c>
      <x:c r="C169" s="10" t="n">
        <x:v>65</x:v>
      </x:c>
      <x:c r="D169" s="10" t="n">
        <x:v>0</x:v>
      </x:c>
      <x:c r="E169" s="10" t="n">
        <x:v>0</x:v>
      </x:c>
      <x:c r="F169" s="10" t="n">
        <x:v>0</x:v>
      </x:c>
      <x:c r="G169" s="10" t="n">
        <x:v>65</x:v>
      </x:c>
      <x:c r="H169" s="10" t="n">
        <x:v>0</x:v>
      </x:c>
      <x:c r="I169" s="10" t="n">
        <x:v>248300</x:v>
      </x:c>
      <x:c r="J169" s="10" t="n">
        <x:v>299</x:v>
      </x:c>
      <x:c r="K169" s="10" t="n">
        <x:v>90</x:v>
      </x:c>
      <x:c r="L169" s="10" t="str">
        <x:v>偏高</x:v>
      </x:c>
      <x:c r="M169" s="10" t="n">
        <x:f>XLOOKUP(A169,'日期维表'!$A$2:$A$43,'日期维表'!$F$2:$F$43,0)</x:f>
        <x:v>14</x:v>
      </x:c>
      <x:c r="N169" s="10" t="str">
        <x:f>XLOOKUP(B169,'产品维表'!$A$2:$A$5,'产品维表'!$B$2:$B$5,"未映射")</x:f>
        <x:v>H2</x:v>
      </x:c>
      <x:c r="O169" s="10" t="n">
        <x:f>C169+D169-F169-G169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9.130000114440918" hidden="0" customWidth="1"/>
    <x:col min="3" max="3" width="10.5" hidden="0" customWidth="1"/>
    <x:col min="4" max="4" width="13.380000114440918" hidden="0" customWidth="1"/>
    <x:col min="5" max="5" width="9.130000114440918" hidden="0" customWidth="1"/>
    <x:col min="6" max="6" width="17.75" hidden="0" customWidth="1"/>
    <x:col min="7" max="7" width="12.380000114440918" hidden="0" customWidth="1"/>
    <x:col min="8" max="8" width="11.630000114440918" hidden="0" customWidth="1"/>
    <x:col min="9" max="9" width="14" hidden="0" customWidth="1"/>
  </x:cols>
  <x:sheetData>
    <x:row r="1" ht="24" hidden="0" customHeight="1">
      <x:c r="A1" s="7" t="str">
        <x:v>month_key</x:v>
      </x:c>
      <x:c r="B1" s="7" t="str">
        <x:v>product_key</x:v>
      </x:c>
      <x:c r="C1" s="7" t="str">
        <x:v>planned_units</x:v>
      </x:c>
      <x:c r="D1" s="7" t="str">
        <x:v>actual_good_units</x:v>
      </x:c>
      <x:c r="E1" s="7" t="str">
        <x:v>defect_units</x:v>
      </x:c>
      <x:c r="F1" s="7" t="str">
        <x:v>capacity_allocated_units</x:v>
      </x:c>
      <x:c r="G1" s="7" t="str">
        <x:v>downtime_hours</x:v>
      </x:c>
      <x:c r="H1" s="7" t="str">
        <x:v>overtime_hours</x:v>
      </x:c>
      <x:c r="I1" s="7" t="str">
        <x:v>capacity_utilization</x:v>
      </x:c>
      <x:c r="J1" s="6" t="str">
        <x:v>quarter_seq</x:v>
      </x:c>
      <x:c r="K1" s="6" t="str">
        <x:v>sku</x:v>
      </x:c>
    </x:row>
    <x:row r="2" ht="15" hidden="0" customHeight="1">
      <x:c r="A2" s="10" t="n">
        <x:v>202201</x:v>
      </x:c>
      <x:c r="B2" s="10" t="n">
        <x:v>101</x:v>
      </x:c>
      <x:c r="C2" s="10" t="n">
        <x:v>0</x:v>
      </x:c>
      <x:c r="D2" s="10" t="n">
        <x:v>0</x:v>
      </x:c>
      <x:c r="E2" s="10" t="n">
        <x:v>0</x:v>
      </x:c>
      <x:c r="F2" s="10" t="n">
        <x:v>62</x:v>
      </x:c>
      <x:c r="G2" s="10" t="n">
        <x:v>7.6</x:v>
      </x:c>
      <x:c r="H2" s="10" t="n">
        <x:v>2.6</x:v>
      </x:c>
      <x:c r="I2" s="10" t="n">
        <x:v>0</x:v>
      </x:c>
      <x:c r="J2" s="10" t="n">
        <x:f>XLOOKUP(A2,'日期维表'!$A$2:$A$43,'日期维表'!$F$2:$F$43,0)</x:f>
        <x:v>1</x:v>
      </x:c>
      <x:c r="K2" s="10" t="str">
        <x:f>XLOOKUP(B2,'产品维表'!$A$2:$A$5,'产品维表'!$B$2:$B$5,"未映射")</x:f>
        <x:v>L1</x:v>
      </x:c>
    </x:row>
    <x:row r="3" ht="15" hidden="0" customHeight="1">
      <x:c r="A3" s="10" t="n">
        <x:v>202201</x:v>
      </x:c>
      <x:c r="B3" s="10" t="n">
        <x:v>102</x:v>
      </x:c>
      <x:c r="C3" s="10" t="n">
        <x:v>0</x:v>
      </x:c>
      <x:c r="D3" s="10" t="n">
        <x:v>0</x:v>
      </x:c>
      <x:c r="E3" s="10" t="n">
        <x:v>0</x:v>
      </x:c>
      <x:c r="F3" s="10" t="n">
        <x:v>62</x:v>
      </x:c>
      <x:c r="G3" s="10" t="n">
        <x:v>2.7</x:v>
      </x:c>
      <x:c r="H3" s="10" t="n">
        <x:v>1.7</x:v>
      </x:c>
      <x:c r="I3" s="10" t="n">
        <x:v>0</x:v>
      </x:c>
      <x:c r="J3" s="10" t="n">
        <x:f>XLOOKUP(A3,'日期维表'!$A$2:$A$43,'日期维表'!$F$2:$F$43,0)</x:f>
        <x:v>1</x:v>
      </x:c>
      <x:c r="K3" s="10" t="str">
        <x:f>XLOOKUP(B3,'产品维表'!$A$2:$A$5,'产品维表'!$B$2:$B$5,"未映射")</x:f>
        <x:v>L2</x:v>
      </x:c>
    </x:row>
    <x:row r="4" ht="15" hidden="0" customHeight="1">
      <x:c r="A4" s="10" t="n">
        <x:v>202201</x:v>
      </x:c>
      <x:c r="B4" s="10" t="n">
        <x:v>201</x:v>
      </x:c>
      <x:c r="C4" s="10" t="n">
        <x:v>0</x:v>
      </x:c>
      <x:c r="D4" s="10" t="n">
        <x:v>0</x:v>
      </x:c>
      <x:c r="E4" s="10" t="n">
        <x:v>0</x:v>
      </x:c>
      <x:c r="F4" s="10" t="n">
        <x:v>62</x:v>
      </x:c>
      <x:c r="G4" s="10" t="n">
        <x:v>6</x:v>
      </x:c>
      <x:c r="H4" s="10" t="n">
        <x:v>0.4</x:v>
      </x:c>
      <x:c r="I4" s="10" t="n">
        <x:v>0</x:v>
      </x:c>
      <x:c r="J4" s="10" t="n">
        <x:f>XLOOKUP(A4,'日期维表'!$A$2:$A$43,'日期维表'!$F$2:$F$43,0)</x:f>
        <x:v>1</x:v>
      </x:c>
      <x:c r="K4" s="10" t="str">
        <x:f>XLOOKUP(B4,'产品维表'!$A$2:$A$5,'产品维表'!$B$2:$B$5,"未映射")</x:f>
        <x:v>H1</x:v>
      </x:c>
    </x:row>
    <x:row r="5" ht="15" hidden="0" customHeight="1">
      <x:c r="A5" s="10" t="n">
        <x:v>202201</x:v>
      </x:c>
      <x:c r="B5" s="10" t="n">
        <x:v>202</x:v>
      </x:c>
      <x:c r="C5" s="10" t="n">
        <x:v>0</x:v>
      </x:c>
      <x:c r="D5" s="10" t="n">
        <x:v>0</x:v>
      </x:c>
      <x:c r="E5" s="10" t="n">
        <x:v>0</x:v>
      </x:c>
      <x:c r="F5" s="10" t="n">
        <x:v>64</x:v>
      </x:c>
      <x:c r="G5" s="10" t="n">
        <x:v>4.1</x:v>
      </x:c>
      <x:c r="H5" s="10" t="n">
        <x:v>1.7</x:v>
      </x:c>
      <x:c r="I5" s="10" t="n">
        <x:v>0</x:v>
      </x:c>
      <x:c r="J5" s="10" t="n">
        <x:f>XLOOKUP(A5,'日期维表'!$A$2:$A$43,'日期维表'!$F$2:$F$43,0)</x:f>
        <x:v>1</x:v>
      </x:c>
      <x:c r="K5" s="10" t="str">
        <x:f>XLOOKUP(B5,'产品维表'!$A$2:$A$5,'产品维表'!$B$2:$B$5,"未映射")</x:f>
        <x:v>H2</x:v>
      </x:c>
    </x:row>
    <x:row r="6" ht="15" hidden="0" customHeight="1">
      <x:c r="A6" s="10" t="n">
        <x:v>202202</x:v>
      </x:c>
      <x:c r="B6" s="10" t="n">
        <x:v>101</x:v>
      </x:c>
      <x:c r="C6" s="10" t="n">
        <x:v>0</x:v>
      </x:c>
      <x:c r="D6" s="10" t="n">
        <x:v>0</x:v>
      </x:c>
      <x:c r="E6" s="10" t="n">
        <x:v>0</x:v>
      </x:c>
      <x:c r="F6" s="10" t="n">
        <x:v>62</x:v>
      </x:c>
      <x:c r="G6" s="10" t="n">
        <x:v>4.9</x:v>
      </x:c>
      <x:c r="H6" s="10" t="n">
        <x:v>1.7</x:v>
      </x:c>
      <x:c r="I6" s="10" t="n">
        <x:v>0</x:v>
      </x:c>
      <x:c r="J6" s="10" t="n">
        <x:f>XLOOKUP(A6,'日期维表'!$A$2:$A$43,'日期维表'!$F$2:$F$43,0)</x:f>
        <x:v>1</x:v>
      </x:c>
      <x:c r="K6" s="10" t="str">
        <x:f>XLOOKUP(B6,'产品维表'!$A$2:$A$5,'产品维表'!$B$2:$B$5,"未映射")</x:f>
        <x:v>L1</x:v>
      </x:c>
    </x:row>
    <x:row r="7" ht="15" hidden="0" customHeight="1">
      <x:c r="A7" s="10" t="n">
        <x:v>202202</x:v>
      </x:c>
      <x:c r="B7" s="10" t="n">
        <x:v>102</x:v>
      </x:c>
      <x:c r="C7" s="10" t="n">
        <x:v>0</x:v>
      </x:c>
      <x:c r="D7" s="10" t="n">
        <x:v>0</x:v>
      </x:c>
      <x:c r="E7" s="10" t="n">
        <x:v>0</x:v>
      </x:c>
      <x:c r="F7" s="10" t="n">
        <x:v>62</x:v>
      </x:c>
      <x:c r="G7" s="10" t="n">
        <x:v>2.3</x:v>
      </x:c>
      <x:c r="H7" s="10" t="n">
        <x:v>2.3</x:v>
      </x:c>
      <x:c r="I7" s="10" t="n">
        <x:v>0</x:v>
      </x:c>
      <x:c r="J7" s="10" t="n">
        <x:f>XLOOKUP(A7,'日期维表'!$A$2:$A$43,'日期维表'!$F$2:$F$43,0)</x:f>
        <x:v>1</x:v>
      </x:c>
      <x:c r="K7" s="10" t="str">
        <x:f>XLOOKUP(B7,'产品维表'!$A$2:$A$5,'产品维表'!$B$2:$B$5,"未映射")</x:f>
        <x:v>L2</x:v>
      </x:c>
    </x:row>
    <x:row r="8" ht="15" hidden="0" customHeight="1">
      <x:c r="A8" s="10" t="n">
        <x:v>202202</x:v>
      </x:c>
      <x:c r="B8" s="10" t="n">
        <x:v>201</x:v>
      </x:c>
      <x:c r="C8" s="10" t="n">
        <x:v>0</x:v>
      </x:c>
      <x:c r="D8" s="10" t="n">
        <x:v>0</x:v>
      </x:c>
      <x:c r="E8" s="10" t="n">
        <x:v>0</x:v>
      </x:c>
      <x:c r="F8" s="10" t="n">
        <x:v>62</x:v>
      </x:c>
      <x:c r="G8" s="10" t="n">
        <x:v>2.3</x:v>
      </x:c>
      <x:c r="H8" s="10" t="n">
        <x:v>0.9</x:v>
      </x:c>
      <x:c r="I8" s="10" t="n">
        <x:v>0</x:v>
      </x:c>
      <x:c r="J8" s="10" t="n">
        <x:f>XLOOKUP(A8,'日期维表'!$A$2:$A$43,'日期维表'!$F$2:$F$43,0)</x:f>
        <x:v>1</x:v>
      </x:c>
      <x:c r="K8" s="10" t="str">
        <x:f>XLOOKUP(B8,'产品维表'!$A$2:$A$5,'产品维表'!$B$2:$B$5,"未映射")</x:f>
        <x:v>H1</x:v>
      </x:c>
    </x:row>
    <x:row r="9" ht="15" hidden="0" customHeight="1">
      <x:c r="A9" s="10" t="n">
        <x:v>202202</x:v>
      </x:c>
      <x:c r="B9" s="10" t="n">
        <x:v>202</x:v>
      </x:c>
      <x:c r="C9" s="10" t="n">
        <x:v>0</x:v>
      </x:c>
      <x:c r="D9" s="10" t="n">
        <x:v>0</x:v>
      </x:c>
      <x:c r="E9" s="10" t="n">
        <x:v>0</x:v>
      </x:c>
      <x:c r="F9" s="10" t="n">
        <x:v>64</x:v>
      </x:c>
      <x:c r="G9" s="10" t="n">
        <x:v>5</x:v>
      </x:c>
      <x:c r="H9" s="10" t="n">
        <x:v>2.5</x:v>
      </x:c>
      <x:c r="I9" s="10" t="n">
        <x:v>0</x:v>
      </x:c>
      <x:c r="J9" s="10" t="n">
        <x:f>XLOOKUP(A9,'日期维表'!$A$2:$A$43,'日期维表'!$F$2:$F$43,0)</x:f>
        <x:v>1</x:v>
      </x:c>
      <x:c r="K9" s="10" t="str">
        <x:f>XLOOKUP(B9,'产品维表'!$A$2:$A$5,'产品维表'!$B$2:$B$5,"未映射")</x:f>
        <x:v>H2</x:v>
      </x:c>
    </x:row>
    <x:row r="10" ht="15" hidden="0" customHeight="1">
      <x:c r="A10" s="10" t="n">
        <x:v>202203</x:v>
      </x:c>
      <x:c r="B10" s="10" t="n">
        <x:v>101</x:v>
      </x:c>
      <x:c r="C10" s="10" t="n">
        <x:v>0</x:v>
      </x:c>
      <x:c r="D10" s="10" t="n">
        <x:v>0</x:v>
      </x:c>
      <x:c r="E10" s="10" t="n">
        <x:v>0</x:v>
      </x:c>
      <x:c r="F10" s="10" t="n">
        <x:v>62</x:v>
      </x:c>
      <x:c r="G10" s="10" t="n">
        <x:v>10</x:v>
      </x:c>
      <x:c r="H10" s="10" t="n">
        <x:v>0.3</x:v>
      </x:c>
      <x:c r="I10" s="10" t="n">
        <x:v>0</x:v>
      </x:c>
      <x:c r="J10" s="10" t="n">
        <x:f>XLOOKUP(A10,'日期维表'!$A$2:$A$43,'日期维表'!$F$2:$F$43,0)</x:f>
        <x:v>1</x:v>
      </x:c>
      <x:c r="K10" s="10" t="str">
        <x:f>XLOOKUP(B10,'产品维表'!$A$2:$A$5,'产品维表'!$B$2:$B$5,"未映射")</x:f>
        <x:v>L1</x:v>
      </x:c>
    </x:row>
    <x:row r="11" ht="15" hidden="0" customHeight="1">
      <x:c r="A11" s="10" t="n">
        <x:v>202203</x:v>
      </x:c>
      <x:c r="B11" s="10" t="n">
        <x:v>102</x:v>
      </x:c>
      <x:c r="C11" s="10" t="n">
        <x:v>0</x:v>
      </x:c>
      <x:c r="D11" s="10" t="n">
        <x:v>0</x:v>
      </x:c>
      <x:c r="E11" s="10" t="n">
        <x:v>0</x:v>
      </x:c>
      <x:c r="F11" s="10" t="n">
        <x:v>62</x:v>
      </x:c>
      <x:c r="G11" s="10" t="n">
        <x:v>7.3</x:v>
      </x:c>
      <x:c r="H11" s="10" t="n">
        <x:v>0.6</x:v>
      </x:c>
      <x:c r="I11" s="10" t="n">
        <x:v>0</x:v>
      </x:c>
      <x:c r="J11" s="10" t="n">
        <x:f>XLOOKUP(A11,'日期维表'!$A$2:$A$43,'日期维表'!$F$2:$F$43,0)</x:f>
        <x:v>1</x:v>
      </x:c>
      <x:c r="K11" s="10" t="str">
        <x:f>XLOOKUP(B11,'产品维表'!$A$2:$A$5,'产品维表'!$B$2:$B$5,"未映射")</x:f>
        <x:v>L2</x:v>
      </x:c>
    </x:row>
    <x:row r="12" ht="15" hidden="0" customHeight="1">
      <x:c r="A12" s="10" t="n">
        <x:v>202203</x:v>
      </x:c>
      <x:c r="B12" s="10" t="n">
        <x:v>201</x:v>
      </x:c>
      <x:c r="C12" s="10" t="n">
        <x:v>0</x:v>
      </x:c>
      <x:c r="D12" s="10" t="n">
        <x:v>0</x:v>
      </x:c>
      <x:c r="E12" s="10" t="n">
        <x:v>0</x:v>
      </x:c>
      <x:c r="F12" s="10" t="n">
        <x:v>62</x:v>
      </x:c>
      <x:c r="G12" s="10" t="n">
        <x:v>9.5</x:v>
      </x:c>
      <x:c r="H12" s="10" t="n">
        <x:v>1.5</x:v>
      </x:c>
      <x:c r="I12" s="10" t="n">
        <x:v>0</x:v>
      </x:c>
      <x:c r="J12" s="10" t="n">
        <x:f>XLOOKUP(A12,'日期维表'!$A$2:$A$43,'日期维表'!$F$2:$F$43,0)</x:f>
        <x:v>1</x:v>
      </x:c>
      <x:c r="K12" s="10" t="str">
        <x:f>XLOOKUP(B12,'产品维表'!$A$2:$A$5,'产品维表'!$B$2:$B$5,"未映射")</x:f>
        <x:v>H1</x:v>
      </x:c>
    </x:row>
    <x:row r="13" ht="15" hidden="0" customHeight="1">
      <x:c r="A13" s="10" t="n">
        <x:v>202203</x:v>
      </x:c>
      <x:c r="B13" s="10" t="n">
        <x:v>202</x:v>
      </x:c>
      <x:c r="C13" s="10" t="n">
        <x:v>0</x:v>
      </x:c>
      <x:c r="D13" s="10" t="n">
        <x:v>0</x:v>
      </x:c>
      <x:c r="E13" s="10" t="n">
        <x:v>0</x:v>
      </x:c>
      <x:c r="F13" s="10" t="n">
        <x:v>64</x:v>
      </x:c>
      <x:c r="G13" s="10" t="n">
        <x:v>7.7</x:v>
      </x:c>
      <x:c r="H13" s="10" t="n">
        <x:v>0.3</x:v>
      </x:c>
      <x:c r="I13" s="10" t="n">
        <x:v>0</x:v>
      </x:c>
      <x:c r="J13" s="10" t="n">
        <x:f>XLOOKUP(A13,'日期维表'!$A$2:$A$43,'日期维表'!$F$2:$F$43,0)</x:f>
        <x:v>1</x:v>
      </x:c>
      <x:c r="K13" s="10" t="str">
        <x:f>XLOOKUP(B13,'产品维表'!$A$2:$A$5,'产品维表'!$B$2:$B$5,"未映射")</x:f>
        <x:v>H2</x:v>
      </x:c>
    </x:row>
    <x:row r="14" ht="15" hidden="0" customHeight="1">
      <x:c r="A14" s="10" t="n">
        <x:v>202204</x:v>
      </x:c>
      <x:c r="B14" s="10" t="n">
        <x:v>101</x:v>
      </x:c>
      <x:c r="C14" s="10" t="n">
        <x:v>65</x:v>
      </x:c>
      <x:c r="D14" s="10" t="n">
        <x:v>64</x:v>
      </x:c>
      <x:c r="E14" s="10" t="n">
        <x:v>1</x:v>
      </x:c>
      <x:c r="F14" s="10" t="n">
        <x:v>123</x:v>
      </x:c>
      <x:c r="G14" s="10" t="n">
        <x:v>2.7</x:v>
      </x:c>
      <x:c r="H14" s="10" t="n">
        <x:v>2.3</x:v>
      </x:c>
      <x:c r="I14" s="10" t="n">
        <x:v>0.5285</x:v>
      </x:c>
      <x:c r="J14" s="10" t="n">
        <x:f>XLOOKUP(A14,'日期维表'!$A$2:$A$43,'日期维表'!$F$2:$F$43,0)</x:f>
        <x:v>2</x:v>
      </x:c>
      <x:c r="K14" s="10" t="str">
        <x:f>XLOOKUP(B14,'产品维表'!$A$2:$A$5,'产品维表'!$B$2:$B$5,"未映射")</x:f>
        <x:v>L1</x:v>
      </x:c>
    </x:row>
    <x:row r="15" ht="15" hidden="0" customHeight="1">
      <x:c r="A15" s="10" t="n">
        <x:v>202204</x:v>
      </x:c>
      <x:c r="B15" s="10" t="n">
        <x:v>102</x:v>
      </x:c>
      <x:c r="C15" s="10" t="n">
        <x:v>65</x:v>
      </x:c>
      <x:c r="D15" s="10" t="n">
        <x:v>64</x:v>
      </x:c>
      <x:c r="E15" s="10" t="n">
        <x:v>1</x:v>
      </x:c>
      <x:c r="F15" s="10" t="n">
        <x:v>123</x:v>
      </x:c>
      <x:c r="G15" s="10" t="n">
        <x:v>2.5</x:v>
      </x:c>
      <x:c r="H15" s="10" t="n">
        <x:v>1.7</x:v>
      </x:c>
      <x:c r="I15" s="10" t="n">
        <x:v>0.5285</x:v>
      </x:c>
      <x:c r="J15" s="10" t="n">
        <x:f>XLOOKUP(A15,'日期维表'!$A$2:$A$43,'日期维表'!$F$2:$F$43,0)</x:f>
        <x:v>2</x:v>
      </x:c>
      <x:c r="K15" s="10" t="str">
        <x:f>XLOOKUP(B15,'产品维表'!$A$2:$A$5,'产品维表'!$B$2:$B$5,"未映射")</x:f>
        <x:v>L2</x:v>
      </x:c>
    </x:row>
    <x:row r="16" ht="15" hidden="0" customHeight="1">
      <x:c r="A16" s="10" t="n">
        <x:v>202204</x:v>
      </x:c>
      <x:c r="B16" s="10" t="n">
        <x:v>201</x:v>
      </x:c>
      <x:c r="C16" s="10" t="n">
        <x:v>0</x:v>
      </x:c>
      <x:c r="D16" s="10" t="n">
        <x:v>0</x:v>
      </x:c>
      <x:c r="E16" s="10" t="n">
        <x:v>0</x:v>
      </x:c>
      <x:c r="F16" s="10" t="n">
        <x:v>2</x:v>
      </x:c>
      <x:c r="G16" s="10" t="n">
        <x:v>1.6</x:v>
      </x:c>
      <x:c r="H16" s="10" t="n">
        <x:v>1</x:v>
      </x:c>
      <x:c r="I16" s="10" t="n">
        <x:v>0</x:v>
      </x:c>
      <x:c r="J16" s="10" t="n">
        <x:f>XLOOKUP(A16,'日期维表'!$A$2:$A$43,'日期维表'!$F$2:$F$43,0)</x:f>
        <x:v>2</x:v>
      </x:c>
      <x:c r="K16" s="10" t="str">
        <x:f>XLOOKUP(B16,'产品维表'!$A$2:$A$5,'产品维表'!$B$2:$B$5,"未映射")</x:f>
        <x:v>H1</x:v>
      </x:c>
    </x:row>
    <x:row r="17" ht="15" hidden="0" customHeight="1">
      <x:c r="A17" s="10" t="n">
        <x:v>202204</x:v>
      </x:c>
      <x:c r="B17" s="10" t="n">
        <x:v>202</x:v>
      </x:c>
      <x:c r="C17" s="10" t="n">
        <x:v>0</x:v>
      </x:c>
      <x:c r="D17" s="10" t="n">
        <x:v>0</x:v>
      </x:c>
      <x:c r="E17" s="10" t="n">
        <x:v>0</x:v>
      </x:c>
      <x:c r="F17" s="10" t="n">
        <x:v>2</x:v>
      </x:c>
      <x:c r="G17" s="10" t="n">
        <x:v>5.2</x:v>
      </x:c>
      <x:c r="H17" s="10" t="n">
        <x:v>0.1</x:v>
      </x:c>
      <x:c r="I17" s="10" t="n">
        <x:v>0</x:v>
      </x:c>
      <x:c r="J17" s="10" t="n">
        <x:f>XLOOKUP(A17,'日期维表'!$A$2:$A$43,'日期维表'!$F$2:$F$43,0)</x:f>
        <x:v>2</x:v>
      </x:c>
      <x:c r="K17" s="10" t="str">
        <x:f>XLOOKUP(B17,'产品维表'!$A$2:$A$5,'产品维表'!$B$2:$B$5,"未映射")</x:f>
        <x:v>H2</x:v>
      </x:c>
    </x:row>
    <x:row r="18" ht="15" hidden="0" customHeight="1">
      <x:c r="A18" s="10" t="n">
        <x:v>202205</x:v>
      </x:c>
      <x:c r="B18" s="10" t="n">
        <x:v>101</x:v>
      </x:c>
      <x:c r="C18" s="10" t="n">
        <x:v>1</x:v>
      </x:c>
      <x:c r="D18" s="10" t="n">
        <x:v>1</x:v>
      </x:c>
      <x:c r="E18" s="10" t="n">
        <x:v>0</x:v>
      </x:c>
      <x:c r="F18" s="10" t="n">
        <x:v>83</x:v>
      </x:c>
      <x:c r="G18" s="10" t="n">
        <x:v>3.1</x:v>
      </x:c>
      <x:c r="H18" s="10" t="n">
        <x:v>0.9</x:v>
      </x:c>
      <x:c r="I18" s="10" t="n">
        <x:v>0.012</x:v>
      </x:c>
      <x:c r="J18" s="10" t="n">
        <x:f>XLOOKUP(A18,'日期维表'!$A$2:$A$43,'日期维表'!$F$2:$F$43,0)</x:f>
        <x:v>2</x:v>
      </x:c>
      <x:c r="K18" s="10" t="str">
        <x:f>XLOOKUP(B18,'产品维表'!$A$2:$A$5,'产品维表'!$B$2:$B$5,"未映射")</x:f>
        <x:v>L1</x:v>
      </x:c>
    </x:row>
    <x:row r="19" ht="15" hidden="0" customHeight="1">
      <x:c r="A19" s="10" t="n">
        <x:v>202205</x:v>
      </x:c>
      <x:c r="B19" s="10" t="n">
        <x:v>102</x:v>
      </x:c>
      <x:c r="C19" s="10" t="n">
        <x:v>1</x:v>
      </x:c>
      <x:c r="D19" s="10" t="n">
        <x:v>1</x:v>
      </x:c>
      <x:c r="E19" s="10" t="n">
        <x:v>0</x:v>
      </x:c>
      <x:c r="F19" s="10" t="n">
        <x:v>83</x:v>
      </x:c>
      <x:c r="G19" s="10" t="n">
        <x:v>8.4</x:v>
      </x:c>
      <x:c r="H19" s="10" t="n">
        <x:v>2</x:v>
      </x:c>
      <x:c r="I19" s="10" t="n">
        <x:v>0.012</x:v>
      </x:c>
      <x:c r="J19" s="10" t="n">
        <x:f>XLOOKUP(A19,'日期维表'!$A$2:$A$43,'日期维表'!$F$2:$F$43,0)</x:f>
        <x:v>2</x:v>
      </x:c>
      <x:c r="K19" s="10" t="str">
        <x:f>XLOOKUP(B19,'产品维表'!$A$2:$A$5,'产品维表'!$B$2:$B$5,"未映射")</x:f>
        <x:v>L2</x:v>
      </x:c>
    </x:row>
    <x:row r="20" ht="15" hidden="0" customHeight="1">
      <x:c r="A20" s="10" t="n">
        <x:v>202205</x:v>
      </x:c>
      <x:c r="B20" s="10" t="n">
        <x:v>201</x:v>
      </x:c>
      <x:c r="C20" s="10" t="n">
        <x:v>0</x:v>
      </x:c>
      <x:c r="D20" s="10" t="n">
        <x:v>0</x:v>
      </x:c>
      <x:c r="E20" s="10" t="n">
        <x:v>0</x:v>
      </x:c>
      <x:c r="F20" s="10" t="n">
        <x:v>42</x:v>
      </x:c>
      <x:c r="G20" s="10" t="n">
        <x:v>8.8</x:v>
      </x:c>
      <x:c r="H20" s="10" t="n">
        <x:v>1.3</x:v>
      </x:c>
      <x:c r="I20" s="10" t="n">
        <x:v>0</x:v>
      </x:c>
      <x:c r="J20" s="10" t="n">
        <x:f>XLOOKUP(A20,'日期维表'!$A$2:$A$43,'日期维表'!$F$2:$F$43,0)</x:f>
        <x:v>2</x:v>
      </x:c>
      <x:c r="K20" s="10" t="str">
        <x:f>XLOOKUP(B20,'产品维表'!$A$2:$A$5,'产品维表'!$B$2:$B$5,"未映射")</x:f>
        <x:v>H1</x:v>
      </x:c>
    </x:row>
    <x:row r="21" ht="15" hidden="0" customHeight="1">
      <x:c r="A21" s="10" t="n">
        <x:v>202205</x:v>
      </x:c>
      <x:c r="B21" s="10" t="n">
        <x:v>202</x:v>
      </x:c>
      <x:c r="C21" s="10" t="n">
        <x:v>0</x:v>
      </x:c>
      <x:c r="D21" s="10" t="n">
        <x:v>0</x:v>
      </x:c>
      <x:c r="E21" s="10" t="n">
        <x:v>0</x:v>
      </x:c>
      <x:c r="F21" s="10" t="n">
        <x:v>42</x:v>
      </x:c>
      <x:c r="G21" s="10" t="n">
        <x:v>5.1</x:v>
      </x:c>
      <x:c r="H21" s="10" t="n">
        <x:v>2.1</x:v>
      </x:c>
      <x:c r="I21" s="10" t="n">
        <x:v>0</x:v>
      </x:c>
      <x:c r="J21" s="10" t="n">
        <x:f>XLOOKUP(A21,'日期维表'!$A$2:$A$43,'日期维表'!$F$2:$F$43,0)</x:f>
        <x:v>2</x:v>
      </x:c>
      <x:c r="K21" s="10" t="str">
        <x:f>XLOOKUP(B21,'产品维表'!$A$2:$A$5,'产品维表'!$B$2:$B$5,"未映射")</x:f>
        <x:v>H2</x:v>
      </x:c>
    </x:row>
    <x:row r="22" ht="15" hidden="0" customHeight="1">
      <x:c r="A22" s="10" t="n">
        <x:v>202206</x:v>
      </x:c>
      <x:c r="B22" s="10" t="n">
        <x:v>101</x:v>
      </x:c>
      <x:c r="C22" s="10" t="n">
        <x:v>0</x:v>
      </x:c>
      <x:c r="D22" s="10" t="n">
        <x:v>0</x:v>
      </x:c>
      <x:c r="E22" s="10" t="n">
        <x:v>0</x:v>
      </x:c>
      <x:c r="F22" s="10" t="n">
        <x:v>62</x:v>
      </x:c>
      <x:c r="G22" s="10" t="n">
        <x:v>2.5</x:v>
      </x:c>
      <x:c r="H22" s="10" t="n">
        <x:v>0</x:v>
      </x:c>
      <x:c r="I22" s="10" t="n">
        <x:v>0</x:v>
      </x:c>
      <x:c r="J22" s="10" t="n">
        <x:f>XLOOKUP(A22,'日期维表'!$A$2:$A$43,'日期维表'!$F$2:$F$43,0)</x:f>
        <x:v>2</x:v>
      </x:c>
      <x:c r="K22" s="10" t="str">
        <x:f>XLOOKUP(B22,'产品维表'!$A$2:$A$5,'产品维表'!$B$2:$B$5,"未映射")</x:f>
        <x:v>L1</x:v>
      </x:c>
    </x:row>
    <x:row r="23" ht="15" hidden="0" customHeight="1">
      <x:c r="A23" s="10" t="n">
        <x:v>202206</x:v>
      </x:c>
      <x:c r="B23" s="10" t="n">
        <x:v>102</x:v>
      </x:c>
      <x:c r="C23" s="10" t="n">
        <x:v>0</x:v>
      </x:c>
      <x:c r="D23" s="10" t="n">
        <x:v>0</x:v>
      </x:c>
      <x:c r="E23" s="10" t="n">
        <x:v>0</x:v>
      </x:c>
      <x:c r="F23" s="10" t="n">
        <x:v>62</x:v>
      </x:c>
      <x:c r="G23" s="10" t="n">
        <x:v>9.8</x:v>
      </x:c>
      <x:c r="H23" s="10" t="n">
        <x:v>2.7</x:v>
      </x:c>
      <x:c r="I23" s="10" t="n">
        <x:v>0</x:v>
      </x:c>
      <x:c r="J23" s="10" t="n">
        <x:f>XLOOKUP(A23,'日期维表'!$A$2:$A$43,'日期维表'!$F$2:$F$43,0)</x:f>
        <x:v>2</x:v>
      </x:c>
      <x:c r="K23" s="10" t="str">
        <x:f>XLOOKUP(B23,'产品维表'!$A$2:$A$5,'产品维表'!$B$2:$B$5,"未映射")</x:f>
        <x:v>L2</x:v>
      </x:c>
    </x:row>
    <x:row r="24" ht="15" hidden="0" customHeight="1">
      <x:c r="A24" s="10" t="n">
        <x:v>202206</x:v>
      </x:c>
      <x:c r="B24" s="10" t="n">
        <x:v>201</x:v>
      </x:c>
      <x:c r="C24" s="10" t="n">
        <x:v>0</x:v>
      </x:c>
      <x:c r="D24" s="10" t="n">
        <x:v>0</x:v>
      </x:c>
      <x:c r="E24" s="10" t="n">
        <x:v>0</x:v>
      </x:c>
      <x:c r="F24" s="10" t="n">
        <x:v>62</x:v>
      </x:c>
      <x:c r="G24" s="10" t="n">
        <x:v>7.7</x:v>
      </x:c>
      <x:c r="H24" s="10" t="n">
        <x:v>0.4</x:v>
      </x:c>
      <x:c r="I24" s="10" t="n">
        <x:v>0</x:v>
      </x:c>
      <x:c r="J24" s="10" t="n">
        <x:f>XLOOKUP(A24,'日期维表'!$A$2:$A$43,'日期维表'!$F$2:$F$43,0)</x:f>
        <x:v>2</x:v>
      </x:c>
      <x:c r="K24" s="10" t="str">
        <x:f>XLOOKUP(B24,'产品维表'!$A$2:$A$5,'产品维表'!$B$2:$B$5,"未映射")</x:f>
        <x:v>H1</x:v>
      </x:c>
    </x:row>
    <x:row r="25" ht="15" hidden="0" customHeight="1">
      <x:c r="A25" s="10" t="n">
        <x:v>202206</x:v>
      </x:c>
      <x:c r="B25" s="10" t="n">
        <x:v>202</x:v>
      </x:c>
      <x:c r="C25" s="10" t="n">
        <x:v>0</x:v>
      </x:c>
      <x:c r="D25" s="10" t="n">
        <x:v>0</x:v>
      </x:c>
      <x:c r="E25" s="10" t="n">
        <x:v>0</x:v>
      </x:c>
      <x:c r="F25" s="10" t="n">
        <x:v>64</x:v>
      </x:c>
      <x:c r="G25" s="10" t="n">
        <x:v>8.8</x:v>
      </x:c>
      <x:c r="H25" s="10" t="n">
        <x:v>0.2</x:v>
      </x:c>
      <x:c r="I25" s="10" t="n">
        <x:v>0</x:v>
      </x:c>
      <x:c r="J25" s="10" t="n">
        <x:f>XLOOKUP(A25,'日期维表'!$A$2:$A$43,'日期维表'!$F$2:$F$43,0)</x:f>
        <x:v>2</x:v>
      </x:c>
      <x:c r="K25" s="10" t="str">
        <x:f>XLOOKUP(B25,'产品维表'!$A$2:$A$5,'产品维表'!$B$2:$B$5,"未映射")</x:f>
        <x:v>H2</x:v>
      </x:c>
    </x:row>
    <x:row r="26" ht="15" hidden="0" customHeight="1">
      <x:c r="A26" s="10" t="n">
        <x:v>202207</x:v>
      </x:c>
      <x:c r="B26" s="10" t="n">
        <x:v>101</x:v>
      </x:c>
      <x:c r="C26" s="10" t="n">
        <x:v>0</x:v>
      </x:c>
      <x:c r="D26" s="10" t="n">
        <x:v>0</x:v>
      </x:c>
      <x:c r="E26" s="10" t="n">
        <x:v>0</x:v>
      </x:c>
      <x:c r="F26" s="10" t="n">
        <x:v>67</x:v>
      </x:c>
      <x:c r="G26" s="10" t="n">
        <x:v>6.8</x:v>
      </x:c>
      <x:c r="H26" s="10" t="n">
        <x:v>1.5</x:v>
      </x:c>
      <x:c r="I26" s="10" t="n">
        <x:v>0</x:v>
      </x:c>
      <x:c r="J26" s="10" t="n">
        <x:f>XLOOKUP(A26,'日期维表'!$A$2:$A$43,'日期维表'!$F$2:$F$43,0)</x:f>
        <x:v>3</x:v>
      </x:c>
      <x:c r="K26" s="10" t="str">
        <x:f>XLOOKUP(B26,'产品维表'!$A$2:$A$5,'产品维表'!$B$2:$B$5,"未映射")</x:f>
        <x:v>L1</x:v>
      </x:c>
    </x:row>
    <x:row r="27" ht="15" hidden="0" customHeight="1">
      <x:c r="A27" s="10" t="n">
        <x:v>202207</x:v>
      </x:c>
      <x:c r="B27" s="10" t="n">
        <x:v>102</x:v>
      </x:c>
      <x:c r="C27" s="10" t="n">
        <x:v>0</x:v>
      </x:c>
      <x:c r="D27" s="10" t="n">
        <x:v>0</x:v>
      </x:c>
      <x:c r="E27" s="10" t="n">
        <x:v>0</x:v>
      </x:c>
      <x:c r="F27" s="10" t="n">
        <x:v>67</x:v>
      </x:c>
      <x:c r="G27" s="10" t="n">
        <x:v>3</x:v>
      </x:c>
      <x:c r="H27" s="10" t="n">
        <x:v>0.2</x:v>
      </x:c>
      <x:c r="I27" s="10" t="n">
        <x:v>0</x:v>
      </x:c>
      <x:c r="J27" s="10" t="n">
        <x:f>XLOOKUP(A27,'日期维表'!$A$2:$A$43,'日期维表'!$F$2:$F$43,0)</x:f>
        <x:v>3</x:v>
      </x:c>
      <x:c r="K27" s="10" t="str">
        <x:f>XLOOKUP(B27,'产品维表'!$A$2:$A$5,'产品维表'!$B$2:$B$5,"未映射")</x:f>
        <x:v>L2</x:v>
      </x:c>
    </x:row>
    <x:row r="28" ht="15" hidden="0" customHeight="1">
      <x:c r="A28" s="10" t="n">
        <x:v>202207</x:v>
      </x:c>
      <x:c r="B28" s="10" t="n">
        <x:v>201</x:v>
      </x:c>
      <x:c r="C28" s="10" t="n">
        <x:v>0</x:v>
      </x:c>
      <x:c r="D28" s="10" t="n">
        <x:v>0</x:v>
      </x:c>
      <x:c r="E28" s="10" t="n">
        <x:v>0</x:v>
      </x:c>
      <x:c r="F28" s="10" t="n">
        <x:v>67</x:v>
      </x:c>
      <x:c r="G28" s="10" t="n">
        <x:v>8.9</x:v>
      </x:c>
      <x:c r="H28" s="10" t="n">
        <x:v>2.9</x:v>
      </x:c>
      <x:c r="I28" s="10" t="n">
        <x:v>0</x:v>
      </x:c>
      <x:c r="J28" s="10" t="n">
        <x:f>XLOOKUP(A28,'日期维表'!$A$2:$A$43,'日期维表'!$F$2:$F$43,0)</x:f>
        <x:v>3</x:v>
      </x:c>
      <x:c r="K28" s="10" t="str">
        <x:f>XLOOKUP(B28,'产品维表'!$A$2:$A$5,'产品维表'!$B$2:$B$5,"未映射")</x:f>
        <x:v>H1</x:v>
      </x:c>
    </x:row>
    <x:row r="29" ht="15" hidden="0" customHeight="1">
      <x:c r="A29" s="10" t="n">
        <x:v>202207</x:v>
      </x:c>
      <x:c r="B29" s="10" t="n">
        <x:v>202</x:v>
      </x:c>
      <x:c r="C29" s="10" t="n">
        <x:v>0</x:v>
      </x:c>
      <x:c r="D29" s="10" t="n">
        <x:v>0</x:v>
      </x:c>
      <x:c r="E29" s="10" t="n">
        <x:v>0</x:v>
      </x:c>
      <x:c r="F29" s="10" t="n">
        <x:v>69</x:v>
      </x:c>
      <x:c r="G29" s="10" t="n">
        <x:v>3.9</x:v>
      </x:c>
      <x:c r="H29" s="10" t="n">
        <x:v>2.9</x:v>
      </x:c>
      <x:c r="I29" s="10" t="n">
        <x:v>0</x:v>
      </x:c>
      <x:c r="J29" s="10" t="n">
        <x:f>XLOOKUP(A29,'日期维表'!$A$2:$A$43,'日期维表'!$F$2:$F$43,0)</x:f>
        <x:v>3</x:v>
      </x:c>
      <x:c r="K29" s="10" t="str">
        <x:f>XLOOKUP(B29,'产品维表'!$A$2:$A$5,'产品维表'!$B$2:$B$5,"未映射")</x:f>
        <x:v>H2</x:v>
      </x:c>
    </x:row>
    <x:row r="30" ht="15" hidden="0" customHeight="1">
      <x:c r="A30" s="10" t="n">
        <x:v>202208</x:v>
      </x:c>
      <x:c r="B30" s="10" t="n">
        <x:v>101</x:v>
      </x:c>
      <x:c r="C30" s="10" t="n">
        <x:v>0</x:v>
      </x:c>
      <x:c r="D30" s="10" t="n">
        <x:v>0</x:v>
      </x:c>
      <x:c r="E30" s="10" t="n">
        <x:v>0</x:v>
      </x:c>
      <x:c r="F30" s="10" t="n">
        <x:v>67</x:v>
      </x:c>
      <x:c r="G30" s="10" t="n">
        <x:v>2.9</x:v>
      </x:c>
      <x:c r="H30" s="10" t="n">
        <x:v>2</x:v>
      </x:c>
      <x:c r="I30" s="10" t="n">
        <x:v>0</x:v>
      </x:c>
      <x:c r="J30" s="10" t="n">
        <x:f>XLOOKUP(A30,'日期维表'!$A$2:$A$43,'日期维表'!$F$2:$F$43,0)</x:f>
        <x:v>3</x:v>
      </x:c>
      <x:c r="K30" s="10" t="str">
        <x:f>XLOOKUP(B30,'产品维表'!$A$2:$A$5,'产品维表'!$B$2:$B$5,"未映射")</x:f>
        <x:v>L1</x:v>
      </x:c>
    </x:row>
    <x:row r="31" ht="15" hidden="0" customHeight="1">
      <x:c r="A31" s="10" t="n">
        <x:v>202208</x:v>
      </x:c>
      <x:c r="B31" s="10" t="n">
        <x:v>102</x:v>
      </x:c>
      <x:c r="C31" s="10" t="n">
        <x:v>0</x:v>
      </x:c>
      <x:c r="D31" s="10" t="n">
        <x:v>0</x:v>
      </x:c>
      <x:c r="E31" s="10" t="n">
        <x:v>0</x:v>
      </x:c>
      <x:c r="F31" s="10" t="n">
        <x:v>67</x:v>
      </x:c>
      <x:c r="G31" s="10" t="n">
        <x:v>8.8</x:v>
      </x:c>
      <x:c r="H31" s="10" t="n">
        <x:v>2</x:v>
      </x:c>
      <x:c r="I31" s="10" t="n">
        <x:v>0</x:v>
      </x:c>
      <x:c r="J31" s="10" t="n">
        <x:f>XLOOKUP(A31,'日期维表'!$A$2:$A$43,'日期维表'!$F$2:$F$43,0)</x:f>
        <x:v>3</x:v>
      </x:c>
      <x:c r="K31" s="10" t="str">
        <x:f>XLOOKUP(B31,'产品维表'!$A$2:$A$5,'产品维表'!$B$2:$B$5,"未映射")</x:f>
        <x:v>L2</x:v>
      </x:c>
    </x:row>
    <x:row r="32" ht="15" hidden="0" customHeight="1">
      <x:c r="A32" s="10" t="n">
        <x:v>202208</x:v>
      </x:c>
      <x:c r="B32" s="10" t="n">
        <x:v>201</x:v>
      </x:c>
      <x:c r="C32" s="10" t="n">
        <x:v>0</x:v>
      </x:c>
      <x:c r="D32" s="10" t="n">
        <x:v>0</x:v>
      </x:c>
      <x:c r="E32" s="10" t="n">
        <x:v>0</x:v>
      </x:c>
      <x:c r="F32" s="10" t="n">
        <x:v>67</x:v>
      </x:c>
      <x:c r="G32" s="10" t="n">
        <x:v>1.6</x:v>
      </x:c>
      <x:c r="H32" s="10" t="n">
        <x:v>0.8</x:v>
      </x:c>
      <x:c r="I32" s="10" t="n">
        <x:v>0</x:v>
      </x:c>
      <x:c r="J32" s="10" t="n">
        <x:f>XLOOKUP(A32,'日期维表'!$A$2:$A$43,'日期维表'!$F$2:$F$43,0)</x:f>
        <x:v>3</x:v>
      </x:c>
      <x:c r="K32" s="10" t="str">
        <x:f>XLOOKUP(B32,'产品维表'!$A$2:$A$5,'产品维表'!$B$2:$B$5,"未映射")</x:f>
        <x:v>H1</x:v>
      </x:c>
    </x:row>
    <x:row r="33" ht="15" hidden="0" customHeight="1">
      <x:c r="A33" s="10" t="n">
        <x:v>202208</x:v>
      </x:c>
      <x:c r="B33" s="10" t="n">
        <x:v>202</x:v>
      </x:c>
      <x:c r="C33" s="10" t="n">
        <x:v>0</x:v>
      </x:c>
      <x:c r="D33" s="10" t="n">
        <x:v>0</x:v>
      </x:c>
      <x:c r="E33" s="10" t="n">
        <x:v>0</x:v>
      </x:c>
      <x:c r="F33" s="10" t="n">
        <x:v>69</x:v>
      </x:c>
      <x:c r="G33" s="10" t="n">
        <x:v>7.1</x:v>
      </x:c>
      <x:c r="H33" s="10" t="n">
        <x:v>0.7</x:v>
      </x:c>
      <x:c r="I33" s="10" t="n">
        <x:v>0</x:v>
      </x:c>
      <x:c r="J33" s="10" t="n">
        <x:f>XLOOKUP(A33,'日期维表'!$A$2:$A$43,'日期维表'!$F$2:$F$43,0)</x:f>
        <x:v>3</x:v>
      </x:c>
      <x:c r="K33" s="10" t="str">
        <x:f>XLOOKUP(B33,'产品维表'!$A$2:$A$5,'产品维表'!$B$2:$B$5,"未映射")</x:f>
        <x:v>H2</x:v>
      </x:c>
    </x:row>
    <x:row r="34" ht="15" hidden="0" customHeight="1">
      <x:c r="A34" s="10" t="n">
        <x:v>202209</x:v>
      </x:c>
      <x:c r="B34" s="10" t="n">
        <x:v>101</x:v>
      </x:c>
      <x:c r="C34" s="10" t="n">
        <x:v>0</x:v>
      </x:c>
      <x:c r="D34" s="10" t="n">
        <x:v>0</x:v>
      </x:c>
      <x:c r="E34" s="10" t="n">
        <x:v>0</x:v>
      </x:c>
      <x:c r="F34" s="10" t="n">
        <x:v>67</x:v>
      </x:c>
      <x:c r="G34" s="10" t="n">
        <x:v>9.4</x:v>
      </x:c>
      <x:c r="H34" s="10" t="n">
        <x:v>1.6</x:v>
      </x:c>
      <x:c r="I34" s="10" t="n">
        <x:v>0</x:v>
      </x:c>
      <x:c r="J34" s="10" t="n">
        <x:f>XLOOKUP(A34,'日期维表'!$A$2:$A$43,'日期维表'!$F$2:$F$43,0)</x:f>
        <x:v>3</x:v>
      </x:c>
      <x:c r="K34" s="10" t="str">
        <x:f>XLOOKUP(B34,'产品维表'!$A$2:$A$5,'产品维表'!$B$2:$B$5,"未映射")</x:f>
        <x:v>L1</x:v>
      </x:c>
    </x:row>
    <x:row r="35" ht="15" hidden="0" customHeight="1">
      <x:c r="A35" s="10" t="n">
        <x:v>202209</x:v>
      </x:c>
      <x:c r="B35" s="10" t="n">
        <x:v>102</x:v>
      </x:c>
      <x:c r="C35" s="10" t="n">
        <x:v>0</x:v>
      </x:c>
      <x:c r="D35" s="10" t="n">
        <x:v>0</x:v>
      </x:c>
      <x:c r="E35" s="10" t="n">
        <x:v>0</x:v>
      </x:c>
      <x:c r="F35" s="10" t="n">
        <x:v>67</x:v>
      </x:c>
      <x:c r="G35" s="10" t="n">
        <x:v>7.9</x:v>
      </x:c>
      <x:c r="H35" s="10" t="n">
        <x:v>1.5</x:v>
      </x:c>
      <x:c r="I35" s="10" t="n">
        <x:v>0</x:v>
      </x:c>
      <x:c r="J35" s="10" t="n">
        <x:f>XLOOKUP(A35,'日期维表'!$A$2:$A$43,'日期维表'!$F$2:$F$43,0)</x:f>
        <x:v>3</x:v>
      </x:c>
      <x:c r="K35" s="10" t="str">
        <x:f>XLOOKUP(B35,'产品维表'!$A$2:$A$5,'产品维表'!$B$2:$B$5,"未映射")</x:f>
        <x:v>L2</x:v>
      </x:c>
    </x:row>
    <x:row r="36" ht="15" hidden="0" customHeight="1">
      <x:c r="A36" s="10" t="n">
        <x:v>202209</x:v>
      </x:c>
      <x:c r="B36" s="10" t="n">
        <x:v>201</x:v>
      </x:c>
      <x:c r="C36" s="10" t="n">
        <x:v>0</x:v>
      </x:c>
      <x:c r="D36" s="10" t="n">
        <x:v>0</x:v>
      </x:c>
      <x:c r="E36" s="10" t="n">
        <x:v>0</x:v>
      </x:c>
      <x:c r="F36" s="10" t="n">
        <x:v>67</x:v>
      </x:c>
      <x:c r="G36" s="10" t="n">
        <x:v>8.1</x:v>
      </x:c>
      <x:c r="H36" s="10" t="n">
        <x:v>0.6</x:v>
      </x:c>
      <x:c r="I36" s="10" t="n">
        <x:v>0</x:v>
      </x:c>
      <x:c r="J36" s="10" t="n">
        <x:f>XLOOKUP(A36,'日期维表'!$A$2:$A$43,'日期维表'!$F$2:$F$43,0)</x:f>
        <x:v>3</x:v>
      </x:c>
      <x:c r="K36" s="10" t="str">
        <x:f>XLOOKUP(B36,'产品维表'!$A$2:$A$5,'产品维表'!$B$2:$B$5,"未映射")</x:f>
        <x:v>H1</x:v>
      </x:c>
    </x:row>
    <x:row r="37" ht="15" hidden="0" customHeight="1">
      <x:c r="A37" s="10" t="n">
        <x:v>202209</x:v>
      </x:c>
      <x:c r="B37" s="10" t="n">
        <x:v>202</x:v>
      </x:c>
      <x:c r="C37" s="10" t="n">
        <x:v>0</x:v>
      </x:c>
      <x:c r="D37" s="10" t="n">
        <x:v>0</x:v>
      </x:c>
      <x:c r="E37" s="10" t="n">
        <x:v>0</x:v>
      </x:c>
      <x:c r="F37" s="10" t="n">
        <x:v>69</x:v>
      </x:c>
      <x:c r="G37" s="10" t="n">
        <x:v>8.7</x:v>
      </x:c>
      <x:c r="H37" s="10" t="n">
        <x:v>2.6</x:v>
      </x:c>
      <x:c r="I37" s="10" t="n">
        <x:v>0</x:v>
      </x:c>
      <x:c r="J37" s="10" t="n">
        <x:f>XLOOKUP(A37,'日期维表'!$A$2:$A$43,'日期维表'!$F$2:$F$43,0)</x:f>
        <x:v>3</x:v>
      </x:c>
      <x:c r="K37" s="10" t="str">
        <x:f>XLOOKUP(B37,'产品维表'!$A$2:$A$5,'产品维表'!$B$2:$B$5,"未映射")</x:f>
        <x:v>H2</x:v>
      </x:c>
    </x:row>
    <x:row r="38" ht="15" hidden="0" customHeight="1">
      <x:c r="A38" s="10" t="n">
        <x:v>202210</x:v>
      </x:c>
      <x:c r="B38" s="10" t="n">
        <x:v>101</x:v>
      </x:c>
      <x:c r="C38" s="10" t="n">
        <x:v>0</x:v>
      </x:c>
      <x:c r="D38" s="10" t="n">
        <x:v>0</x:v>
      </x:c>
      <x:c r="E38" s="10" t="n">
        <x:v>0</x:v>
      </x:c>
      <x:c r="F38" s="10" t="n">
        <x:v>72</x:v>
      </x:c>
      <x:c r="G38" s="10" t="n">
        <x:v>4.4</x:v>
      </x:c>
      <x:c r="H38" s="10" t="n">
        <x:v>0.1</x:v>
      </x:c>
      <x:c r="I38" s="10" t="n">
        <x:v>0</x:v>
      </x:c>
      <x:c r="J38" s="10" t="n">
        <x:f>XLOOKUP(A38,'日期维表'!$A$2:$A$43,'日期维表'!$F$2:$F$43,0)</x:f>
        <x:v>4</x:v>
      </x:c>
      <x:c r="K38" s="10" t="str">
        <x:f>XLOOKUP(B38,'产品维表'!$A$2:$A$5,'产品维表'!$B$2:$B$5,"未映射")</x:f>
        <x:v>L1</x:v>
      </x:c>
    </x:row>
    <x:row r="39" ht="15" hidden="0" customHeight="1">
      <x:c r="A39" s="10" t="n">
        <x:v>202210</x:v>
      </x:c>
      <x:c r="B39" s="10" t="n">
        <x:v>102</x:v>
      </x:c>
      <x:c r="C39" s="10" t="n">
        <x:v>0</x:v>
      </x:c>
      <x:c r="D39" s="10" t="n">
        <x:v>0</x:v>
      </x:c>
      <x:c r="E39" s="10" t="n">
        <x:v>0</x:v>
      </x:c>
      <x:c r="F39" s="10" t="n">
        <x:v>72</x:v>
      </x:c>
      <x:c r="G39" s="10" t="n">
        <x:v>9.9</x:v>
      </x:c>
      <x:c r="H39" s="10" t="n">
        <x:v>1.9</x:v>
      </x:c>
      <x:c r="I39" s="10" t="n">
        <x:v>0</x:v>
      </x:c>
      <x:c r="J39" s="10" t="n">
        <x:f>XLOOKUP(A39,'日期维表'!$A$2:$A$43,'日期维表'!$F$2:$F$43,0)</x:f>
        <x:v>4</x:v>
      </x:c>
      <x:c r="K39" s="10" t="str">
        <x:f>XLOOKUP(B39,'产品维表'!$A$2:$A$5,'产品维表'!$B$2:$B$5,"未映射")</x:f>
        <x:v>L2</x:v>
      </x:c>
    </x:row>
    <x:row r="40" ht="15" hidden="0" customHeight="1">
      <x:c r="A40" s="10" t="n">
        <x:v>202210</x:v>
      </x:c>
      <x:c r="B40" s="10" t="n">
        <x:v>201</x:v>
      </x:c>
      <x:c r="C40" s="10" t="n">
        <x:v>0</x:v>
      </x:c>
      <x:c r="D40" s="10" t="n">
        <x:v>0</x:v>
      </x:c>
      <x:c r="E40" s="10" t="n">
        <x:v>0</x:v>
      </x:c>
      <x:c r="F40" s="10" t="n">
        <x:v>72</x:v>
      </x:c>
      <x:c r="G40" s="10" t="n">
        <x:v>3.6</x:v>
      </x:c>
      <x:c r="H40" s="10" t="n">
        <x:v>0.7</x:v>
      </x:c>
      <x:c r="I40" s="10" t="n">
        <x:v>0</x:v>
      </x:c>
      <x:c r="J40" s="10" t="n">
        <x:f>XLOOKUP(A40,'日期维表'!$A$2:$A$43,'日期维表'!$F$2:$F$43,0)</x:f>
        <x:v>4</x:v>
      </x:c>
      <x:c r="K40" s="10" t="str">
        <x:f>XLOOKUP(B40,'产品维表'!$A$2:$A$5,'产品维表'!$B$2:$B$5,"未映射")</x:f>
        <x:v>H1</x:v>
      </x:c>
    </x:row>
    <x:row r="41" ht="15" hidden="0" customHeight="1">
      <x:c r="A41" s="10" t="n">
        <x:v>202210</x:v>
      </x:c>
      <x:c r="B41" s="10" t="n">
        <x:v>202</x:v>
      </x:c>
      <x:c r="C41" s="10" t="n">
        <x:v>0</x:v>
      </x:c>
      <x:c r="D41" s="10" t="n">
        <x:v>0</x:v>
      </x:c>
      <x:c r="E41" s="10" t="n">
        <x:v>0</x:v>
      </x:c>
      <x:c r="F41" s="10" t="n">
        <x:v>74</x:v>
      </x:c>
      <x:c r="G41" s="10" t="n">
        <x:v>5.7</x:v>
      </x:c>
      <x:c r="H41" s="10" t="n">
        <x:v>1.9</x:v>
      </x:c>
      <x:c r="I41" s="10" t="n">
        <x:v>0</x:v>
      </x:c>
      <x:c r="J41" s="10" t="n">
        <x:f>XLOOKUP(A41,'日期维表'!$A$2:$A$43,'日期维表'!$F$2:$F$43,0)</x:f>
        <x:v>4</x:v>
      </x:c>
      <x:c r="K41" s="10" t="str">
        <x:f>XLOOKUP(B41,'产品维表'!$A$2:$A$5,'产品维表'!$B$2:$B$5,"未映射")</x:f>
        <x:v>H2</x:v>
      </x:c>
    </x:row>
    <x:row r="42" ht="15" hidden="0" customHeight="1">
      <x:c r="A42" s="10" t="n">
        <x:v>202211</x:v>
      </x:c>
      <x:c r="B42" s="10" t="n">
        <x:v>101</x:v>
      </x:c>
      <x:c r="C42" s="10" t="n">
        <x:v>0</x:v>
      </x:c>
      <x:c r="D42" s="10" t="n">
        <x:v>0</x:v>
      </x:c>
      <x:c r="E42" s="10" t="n">
        <x:v>0</x:v>
      </x:c>
      <x:c r="F42" s="10" t="n">
        <x:v>72</x:v>
      </x:c>
      <x:c r="G42" s="10" t="n">
        <x:v>2.7</x:v>
      </x:c>
      <x:c r="H42" s="10" t="n">
        <x:v>1.1</x:v>
      </x:c>
      <x:c r="I42" s="10" t="n">
        <x:v>0</x:v>
      </x:c>
      <x:c r="J42" s="10" t="n">
        <x:f>XLOOKUP(A42,'日期维表'!$A$2:$A$43,'日期维表'!$F$2:$F$43,0)</x:f>
        <x:v>4</x:v>
      </x:c>
      <x:c r="K42" s="10" t="str">
        <x:f>XLOOKUP(B42,'产品维表'!$A$2:$A$5,'产品维表'!$B$2:$B$5,"未映射")</x:f>
        <x:v>L1</x:v>
      </x:c>
    </x:row>
    <x:row r="43" ht="15" hidden="0" customHeight="1">
      <x:c r="A43" s="10" t="n">
        <x:v>202211</x:v>
      </x:c>
      <x:c r="B43" s="10" t="n">
        <x:v>102</x:v>
      </x:c>
      <x:c r="C43" s="10" t="n">
        <x:v>0</x:v>
      </x:c>
      <x:c r="D43" s="10" t="n">
        <x:v>0</x:v>
      </x:c>
      <x:c r="E43" s="10" t="n">
        <x:v>0</x:v>
      </x:c>
      <x:c r="F43" s="10" t="n">
        <x:v>72</x:v>
      </x:c>
      <x:c r="G43" s="10" t="n">
        <x:v>9.8</x:v>
      </x:c>
      <x:c r="H43" s="10" t="n">
        <x:v>2.8</x:v>
      </x:c>
      <x:c r="I43" s="10" t="n">
        <x:v>0</x:v>
      </x:c>
      <x:c r="J43" s="10" t="n">
        <x:f>XLOOKUP(A43,'日期维表'!$A$2:$A$43,'日期维表'!$F$2:$F$43,0)</x:f>
        <x:v>4</x:v>
      </x:c>
      <x:c r="K43" s="10" t="str">
        <x:f>XLOOKUP(B43,'产品维表'!$A$2:$A$5,'产品维表'!$B$2:$B$5,"未映射")</x:f>
        <x:v>L2</x:v>
      </x:c>
    </x:row>
    <x:row r="44" ht="15" hidden="0" customHeight="1">
      <x:c r="A44" s="10" t="n">
        <x:v>202211</x:v>
      </x:c>
      <x:c r="B44" s="10" t="n">
        <x:v>201</x:v>
      </x:c>
      <x:c r="C44" s="10" t="n">
        <x:v>0</x:v>
      </x:c>
      <x:c r="D44" s="10" t="n">
        <x:v>0</x:v>
      </x:c>
      <x:c r="E44" s="10" t="n">
        <x:v>0</x:v>
      </x:c>
      <x:c r="F44" s="10" t="n">
        <x:v>72</x:v>
      </x:c>
      <x:c r="G44" s="10" t="n">
        <x:v>3.7</x:v>
      </x:c>
      <x:c r="H44" s="10" t="n">
        <x:v>1.7</x:v>
      </x:c>
      <x:c r="I44" s="10" t="n">
        <x:v>0</x:v>
      </x:c>
      <x:c r="J44" s="10" t="n">
        <x:f>XLOOKUP(A44,'日期维表'!$A$2:$A$43,'日期维表'!$F$2:$F$43,0)</x:f>
        <x:v>4</x:v>
      </x:c>
      <x:c r="K44" s="10" t="str">
        <x:f>XLOOKUP(B44,'产品维表'!$A$2:$A$5,'产品维表'!$B$2:$B$5,"未映射")</x:f>
        <x:v>H1</x:v>
      </x:c>
    </x:row>
    <x:row r="45" ht="15" hidden="0" customHeight="1">
      <x:c r="A45" s="10" t="n">
        <x:v>202211</x:v>
      </x:c>
      <x:c r="B45" s="10" t="n">
        <x:v>202</x:v>
      </x:c>
      <x:c r="C45" s="10" t="n">
        <x:v>0</x:v>
      </x:c>
      <x:c r="D45" s="10" t="n">
        <x:v>0</x:v>
      </x:c>
      <x:c r="E45" s="10" t="n">
        <x:v>0</x:v>
      </x:c>
      <x:c r="F45" s="10" t="n">
        <x:v>74</x:v>
      </x:c>
      <x:c r="G45" s="10" t="n">
        <x:v>3.6</x:v>
      </x:c>
      <x:c r="H45" s="10" t="n">
        <x:v>0.8</x:v>
      </x:c>
      <x:c r="I45" s="10" t="n">
        <x:v>0</x:v>
      </x:c>
      <x:c r="J45" s="10" t="n">
        <x:f>XLOOKUP(A45,'日期维表'!$A$2:$A$43,'日期维表'!$F$2:$F$43,0)</x:f>
        <x:v>4</x:v>
      </x:c>
      <x:c r="K45" s="10" t="str">
        <x:f>XLOOKUP(B45,'产品维表'!$A$2:$A$5,'产品维表'!$B$2:$B$5,"未映射")</x:f>
        <x:v>H2</x:v>
      </x:c>
    </x:row>
    <x:row r="46" ht="15" hidden="0" customHeight="1">
      <x:c r="A46" s="10" t="n">
        <x:v>202212</x:v>
      </x:c>
      <x:c r="B46" s="10" t="n">
        <x:v>101</x:v>
      </x:c>
      <x:c r="C46" s="10" t="n">
        <x:v>0</x:v>
      </x:c>
      <x:c r="D46" s="10" t="n">
        <x:v>0</x:v>
      </x:c>
      <x:c r="E46" s="10" t="n">
        <x:v>0</x:v>
      </x:c>
      <x:c r="F46" s="10" t="n">
        <x:v>72</x:v>
      </x:c>
      <x:c r="G46" s="10" t="n">
        <x:v>7.7</x:v>
      </x:c>
      <x:c r="H46" s="10" t="n">
        <x:v>1.6</x:v>
      </x:c>
      <x:c r="I46" s="10" t="n">
        <x:v>0</x:v>
      </x:c>
      <x:c r="J46" s="10" t="n">
        <x:f>XLOOKUP(A46,'日期维表'!$A$2:$A$43,'日期维表'!$F$2:$F$43,0)</x:f>
        <x:v>4</x:v>
      </x:c>
      <x:c r="K46" s="10" t="str">
        <x:f>XLOOKUP(B46,'产品维表'!$A$2:$A$5,'产品维表'!$B$2:$B$5,"未映射")</x:f>
        <x:v>L1</x:v>
      </x:c>
    </x:row>
    <x:row r="47" ht="15" hidden="0" customHeight="1">
      <x:c r="A47" s="10" t="n">
        <x:v>202212</x:v>
      </x:c>
      <x:c r="B47" s="10" t="n">
        <x:v>102</x:v>
      </x:c>
      <x:c r="C47" s="10" t="n">
        <x:v>0</x:v>
      </x:c>
      <x:c r="D47" s="10" t="n">
        <x:v>0</x:v>
      </x:c>
      <x:c r="E47" s="10" t="n">
        <x:v>0</x:v>
      </x:c>
      <x:c r="F47" s="10" t="n">
        <x:v>72</x:v>
      </x:c>
      <x:c r="G47" s="10" t="n">
        <x:v>3.1</x:v>
      </x:c>
      <x:c r="H47" s="10" t="n">
        <x:v>2.5</x:v>
      </x:c>
      <x:c r="I47" s="10" t="n">
        <x:v>0</x:v>
      </x:c>
      <x:c r="J47" s="10" t="n">
        <x:f>XLOOKUP(A47,'日期维表'!$A$2:$A$43,'日期维表'!$F$2:$F$43,0)</x:f>
        <x:v>4</x:v>
      </x:c>
      <x:c r="K47" s="10" t="str">
        <x:f>XLOOKUP(B47,'产品维表'!$A$2:$A$5,'产品维表'!$B$2:$B$5,"未映射")</x:f>
        <x:v>L2</x:v>
      </x:c>
    </x:row>
    <x:row r="48" ht="15" hidden="0" customHeight="1">
      <x:c r="A48" s="10" t="n">
        <x:v>202212</x:v>
      </x:c>
      <x:c r="B48" s="10" t="n">
        <x:v>201</x:v>
      </x:c>
      <x:c r="C48" s="10" t="n">
        <x:v>0</x:v>
      </x:c>
      <x:c r="D48" s="10" t="n">
        <x:v>0</x:v>
      </x:c>
      <x:c r="E48" s="10" t="n">
        <x:v>0</x:v>
      </x:c>
      <x:c r="F48" s="10" t="n">
        <x:v>72</x:v>
      </x:c>
      <x:c r="G48" s="10" t="n">
        <x:v>4.5</x:v>
      </x:c>
      <x:c r="H48" s="10" t="n">
        <x:v>1.6</x:v>
      </x:c>
      <x:c r="I48" s="10" t="n">
        <x:v>0</x:v>
      </x:c>
      <x:c r="J48" s="10" t="n">
        <x:f>XLOOKUP(A48,'日期维表'!$A$2:$A$43,'日期维表'!$F$2:$F$43,0)</x:f>
        <x:v>4</x:v>
      </x:c>
      <x:c r="K48" s="10" t="str">
        <x:f>XLOOKUP(B48,'产品维表'!$A$2:$A$5,'产品维表'!$B$2:$B$5,"未映射")</x:f>
        <x:v>H1</x:v>
      </x:c>
    </x:row>
    <x:row r="49" ht="15" hidden="0" customHeight="1">
      <x:c r="A49" s="10" t="n">
        <x:v>202212</x:v>
      </x:c>
      <x:c r="B49" s="10" t="n">
        <x:v>202</x:v>
      </x:c>
      <x:c r="C49" s="10" t="n">
        <x:v>0</x:v>
      </x:c>
      <x:c r="D49" s="10" t="n">
        <x:v>0</x:v>
      </x:c>
      <x:c r="E49" s="10" t="n">
        <x:v>0</x:v>
      </x:c>
      <x:c r="F49" s="10" t="n">
        <x:v>74</x:v>
      </x:c>
      <x:c r="G49" s="10" t="n">
        <x:v>9</x:v>
      </x:c>
      <x:c r="H49" s="10" t="n">
        <x:v>2.5</x:v>
      </x:c>
      <x:c r="I49" s="10" t="n">
        <x:v>0</x:v>
      </x:c>
      <x:c r="J49" s="10" t="n">
        <x:f>XLOOKUP(A49,'日期维表'!$A$2:$A$43,'日期维表'!$F$2:$F$43,0)</x:f>
        <x:v>4</x:v>
      </x:c>
      <x:c r="K49" s="10" t="str">
        <x:f>XLOOKUP(B49,'产品维表'!$A$2:$A$5,'产品维表'!$B$2:$B$5,"未映射")</x:f>
        <x:v>H2</x:v>
      </x:c>
    </x:row>
    <x:row r="50" ht="15" hidden="0" customHeight="1">
      <x:c r="A50" s="10" t="n">
        <x:v>202301</x:v>
      </x:c>
      <x:c r="B50" s="10" t="n">
        <x:v>101</x:v>
      </x:c>
      <x:c r="C50" s="10" t="n">
        <x:v>126</x:v>
      </x:c>
      <x:c r="D50" s="10" t="n">
        <x:v>123</x:v>
      </x:c>
      <x:c r="E50" s="10" t="n">
        <x:v>3</x:v>
      </x:c>
      <x:c r="F50" s="10" t="n">
        <x:v>187</x:v>
      </x:c>
      <x:c r="G50" s="10" t="n">
        <x:v>2.5</x:v>
      </x:c>
      <x:c r="H50" s="10" t="n">
        <x:v>1.9</x:v>
      </x:c>
      <x:c r="I50" s="10" t="n">
        <x:v>0.6738</x:v>
      </x:c>
      <x:c r="J50" s="10" t="n">
        <x:f>XLOOKUP(A50,'日期维表'!$A$2:$A$43,'日期维表'!$F$2:$F$43,0)</x:f>
        <x:v>5</x:v>
      </x:c>
      <x:c r="K50" s="10" t="str">
        <x:f>XLOOKUP(B50,'产品维表'!$A$2:$A$5,'产品维表'!$B$2:$B$5,"未映射")</x:f>
        <x:v>L1</x:v>
      </x:c>
    </x:row>
    <x:row r="51" ht="15" hidden="0" customHeight="1">
      <x:c r="A51" s="10" t="n">
        <x:v>202301</x:v>
      </x:c>
      <x:c r="B51" s="10" t="n">
        <x:v>102</x:v>
      </x:c>
      <x:c r="C51" s="10" t="n">
        <x:v>74</x:v>
      </x:c>
      <x:c r="D51" s="10" t="n">
        <x:v>73</x:v>
      </x:c>
      <x:c r="E51" s="10" t="n">
        <x:v>1</x:v>
      </x:c>
      <x:c r="F51" s="10" t="n">
        <x:v>110</x:v>
      </x:c>
      <x:c r="G51" s="10" t="n">
        <x:v>9.1</x:v>
      </x:c>
      <x:c r="H51" s="10" t="n">
        <x:v>0.9</x:v>
      </x:c>
      <x:c r="I51" s="10" t="n">
        <x:v>0.6727</x:v>
      </x:c>
      <x:c r="J51" s="10" t="n">
        <x:f>XLOOKUP(A51,'日期维表'!$A$2:$A$43,'日期维表'!$F$2:$F$43,0)</x:f>
        <x:v>5</x:v>
      </x:c>
      <x:c r="K51" s="10" t="str">
        <x:f>XLOOKUP(B51,'产品维表'!$A$2:$A$5,'产品维表'!$B$2:$B$5,"未映射")</x:f>
        <x:v>L2</x:v>
      </x:c>
    </x:row>
    <x:row r="52" ht="15" hidden="0" customHeight="1">
      <x:c r="A52" s="10" t="n">
        <x:v>202301</x:v>
      </x:c>
      <x:c r="B52" s="10" t="n">
        <x:v>201</x:v>
      </x:c>
      <x:c r="C52" s="10" t="n">
        <x:v>0</x:v>
      </x:c>
      <x:c r="D52" s="10" t="n">
        <x:v>0</x:v>
      </x:c>
      <x:c r="E52" s="10" t="n">
        <x:v>0</x:v>
      </x:c>
      <x:c r="F52" s="10" t="n">
        <x:v>2</x:v>
      </x:c>
      <x:c r="G52" s="10" t="n">
        <x:v>3.4</x:v>
      </x:c>
      <x:c r="H52" s="10" t="n">
        <x:v>0.4</x:v>
      </x:c>
      <x:c r="I52" s="10" t="n">
        <x:v>0</x:v>
      </x:c>
      <x:c r="J52" s="10" t="n">
        <x:f>XLOOKUP(A52,'日期维表'!$A$2:$A$43,'日期维表'!$F$2:$F$43,0)</x:f>
        <x:v>5</x:v>
      </x:c>
      <x:c r="K52" s="10" t="str">
        <x:f>XLOOKUP(B52,'产品维表'!$A$2:$A$5,'产品维表'!$B$2:$B$5,"未映射")</x:f>
        <x:v>H1</x:v>
      </x:c>
    </x:row>
    <x:row r="53" ht="15" hidden="0" customHeight="1">
      <x:c r="A53" s="10" t="n">
        <x:v>202301</x:v>
      </x:c>
      <x:c r="B53" s="10" t="n">
        <x:v>202</x:v>
      </x:c>
      <x:c r="C53" s="10" t="n">
        <x:v>0</x:v>
      </x:c>
      <x:c r="D53" s="10" t="n">
        <x:v>0</x:v>
      </x:c>
      <x:c r="E53" s="10" t="n">
        <x:v>0</x:v>
      </x:c>
      <x:c r="F53" s="10" t="n">
        <x:v>1</x:v>
      </x:c>
      <x:c r="G53" s="10" t="n">
        <x:v>8.5</x:v>
      </x:c>
      <x:c r="H53" s="10" t="n">
        <x:v>1.3</x:v>
      </x:c>
      <x:c r="I53" s="10" t="n">
        <x:v>0</x:v>
      </x:c>
      <x:c r="J53" s="10" t="n">
        <x:f>XLOOKUP(A53,'日期维表'!$A$2:$A$43,'日期维表'!$F$2:$F$43,0)</x:f>
        <x:v>5</x:v>
      </x:c>
      <x:c r="K53" s="10" t="str">
        <x:f>XLOOKUP(B53,'产品维表'!$A$2:$A$5,'产品维表'!$B$2:$B$5,"未映射")</x:f>
        <x:v>H2</x:v>
      </x:c>
    </x:row>
    <x:row r="54" ht="15" hidden="0" customHeight="1">
      <x:c r="A54" s="10" t="n">
        <x:v>202302</x:v>
      </x:c>
      <x:c r="B54" s="10" t="n">
        <x:v>101</x:v>
      </x:c>
      <x:c r="C54" s="10" t="n">
        <x:v>77</x:v>
      </x:c>
      <x:c r="D54" s="10" t="n">
        <x:v>76</x:v>
      </x:c>
      <x:c r="E54" s="10" t="n">
        <x:v>1</x:v>
      </x:c>
      <x:c r="F54" s="10" t="n">
        <x:v>102</x:v>
      </x:c>
      <x:c r="G54" s="10" t="n">
        <x:v>2.1</x:v>
      </x:c>
      <x:c r="H54" s="10" t="n">
        <x:v>0.5</x:v>
      </x:c>
      <x:c r="I54" s="10" t="n">
        <x:v>0.7549</x:v>
      </x:c>
      <x:c r="J54" s="10" t="n">
        <x:f>XLOOKUP(A54,'日期维表'!$A$2:$A$43,'日期维表'!$F$2:$F$43,0)</x:f>
        <x:v>5</x:v>
      </x:c>
      <x:c r="K54" s="10" t="str">
        <x:f>XLOOKUP(B54,'产品维表'!$A$2:$A$5,'产品维表'!$B$2:$B$5,"未映射")</x:f>
        <x:v>L1</x:v>
      </x:c>
    </x:row>
    <x:row r="55" ht="15" hidden="0" customHeight="1">
      <x:c r="A55" s="10" t="n">
        <x:v>202302</x:v>
      </x:c>
      <x:c r="B55" s="10" t="n">
        <x:v>102</x:v>
      </x:c>
      <x:c r="C55" s="10" t="n">
        <x:v>149</x:v>
      </x:c>
      <x:c r="D55" s="10" t="n">
        <x:v>146</x:v>
      </x:c>
      <x:c r="E55" s="10" t="n">
        <x:v>3</x:v>
      </x:c>
      <x:c r="F55" s="10" t="n">
        <x:v>196</x:v>
      </x:c>
      <x:c r="G55" s="10" t="n">
        <x:v>2.7</x:v>
      </x:c>
      <x:c r="H55" s="10" t="n">
        <x:v>1.6</x:v>
      </x:c>
      <x:c r="I55" s="10" t="n">
        <x:v>0.7602</x:v>
      </x:c>
      <x:c r="J55" s="10" t="n">
        <x:f>XLOOKUP(A55,'日期维表'!$A$2:$A$43,'日期维表'!$F$2:$F$43,0)</x:f>
        <x:v>5</x:v>
      </x:c>
      <x:c r="K55" s="10" t="str">
        <x:f>XLOOKUP(B55,'产品维表'!$A$2:$A$5,'产品维表'!$B$2:$B$5,"未映射")</x:f>
        <x:v>L2</x:v>
      </x:c>
    </x:row>
    <x:row r="56" ht="15" hidden="0" customHeight="1">
      <x:c r="A56" s="10" t="n">
        <x:v>202302</x:v>
      </x:c>
      <x:c r="B56" s="10" t="n">
        <x:v>201</x:v>
      </x:c>
      <x:c r="C56" s="10" t="n">
        <x:v>0</x:v>
      </x:c>
      <x:c r="D56" s="10" t="n">
        <x:v>0</x:v>
      </x:c>
      <x:c r="E56" s="10" t="n">
        <x:v>0</x:v>
      </x:c>
      <x:c r="F56" s="10" t="n">
        <x:v>1</x:v>
      </x:c>
      <x:c r="G56" s="10" t="n">
        <x:v>3.7</x:v>
      </x:c>
      <x:c r="H56" s="10" t="n">
        <x:v>0.3</x:v>
      </x:c>
      <x:c r="I56" s="10" t="n">
        <x:v>0</x:v>
      </x:c>
      <x:c r="J56" s="10" t="n">
        <x:f>XLOOKUP(A56,'日期维表'!$A$2:$A$43,'日期维表'!$F$2:$F$43,0)</x:f>
        <x:v>5</x:v>
      </x:c>
      <x:c r="K56" s="10" t="str">
        <x:f>XLOOKUP(B56,'产品维表'!$A$2:$A$5,'产品维表'!$B$2:$B$5,"未映射")</x:f>
        <x:v>H1</x:v>
      </x:c>
    </x:row>
    <x:row r="57" ht="15" hidden="0" customHeight="1">
      <x:c r="A57" s="10" t="n">
        <x:v>202302</x:v>
      </x:c>
      <x:c r="B57" s="10" t="n">
        <x:v>202</x:v>
      </x:c>
      <x:c r="C57" s="10" t="n">
        <x:v>0</x:v>
      </x:c>
      <x:c r="D57" s="10" t="n">
        <x:v>0</x:v>
      </x:c>
      <x:c r="E57" s="10" t="n">
        <x:v>0</x:v>
      </x:c>
      <x:c r="F57" s="10" t="n">
        <x:v>1</x:v>
      </x:c>
      <x:c r="G57" s="10" t="n">
        <x:v>3.9</x:v>
      </x:c>
      <x:c r="H57" s="10" t="n">
        <x:v>2.4</x:v>
      </x:c>
      <x:c r="I57" s="10" t="n">
        <x:v>0</x:v>
      </x:c>
      <x:c r="J57" s="10" t="n">
        <x:f>XLOOKUP(A57,'日期维表'!$A$2:$A$43,'日期维表'!$F$2:$F$43,0)</x:f>
        <x:v>5</x:v>
      </x:c>
      <x:c r="K57" s="10" t="str">
        <x:f>XLOOKUP(B57,'产品维表'!$A$2:$A$5,'产品维表'!$B$2:$B$5,"未映射")</x:f>
        <x:v>H2</x:v>
      </x:c>
    </x:row>
    <x:row r="58" ht="15" hidden="0" customHeight="1">
      <x:c r="A58" s="10" t="n">
        <x:v>202303</x:v>
      </x:c>
      <x:c r="B58" s="10" t="n">
        <x:v>101</x:v>
      </x:c>
      <x:c r="C58" s="10" t="n">
        <x:v>163</x:v>
      </x:c>
      <x:c r="D58" s="10" t="n">
        <x:v>160</x:v>
      </x:c>
      <x:c r="E58" s="10" t="n">
        <x:v>3</x:v>
      </x:c>
      <x:c r="F58" s="10" t="n">
        <x:v>204</x:v>
      </x:c>
      <x:c r="G58" s="10" t="n">
        <x:v>5.5</x:v>
      </x:c>
      <x:c r="H58" s="10" t="n">
        <x:v>0.5</x:v>
      </x:c>
      <x:c r="I58" s="10" t="n">
        <x:v>0.799</x:v>
      </x:c>
      <x:c r="J58" s="10" t="n">
        <x:f>XLOOKUP(A58,'日期维表'!$A$2:$A$43,'日期维表'!$F$2:$F$43,0)</x:f>
        <x:v>5</x:v>
      </x:c>
      <x:c r="K58" s="10" t="str">
        <x:f>XLOOKUP(B58,'产品维表'!$A$2:$A$5,'产品维表'!$B$2:$B$5,"未映射")</x:f>
        <x:v>L1</x:v>
      </x:c>
    </x:row>
    <x:row r="59" ht="15" hidden="0" customHeight="1">
      <x:c r="A59" s="10" t="n">
        <x:v>202303</x:v>
      </x:c>
      <x:c r="B59" s="10" t="n">
        <x:v>102</x:v>
      </x:c>
      <x:c r="C59" s="10" t="n">
        <x:v>75</x:v>
      </x:c>
      <x:c r="D59" s="10" t="n">
        <x:v>74</x:v>
      </x:c>
      <x:c r="E59" s="10" t="n">
        <x:v>1</x:v>
      </x:c>
      <x:c r="F59" s="10" t="n">
        <x:v>94</x:v>
      </x:c>
      <x:c r="G59" s="10" t="n">
        <x:v>9.3</x:v>
      </x:c>
      <x:c r="H59" s="10" t="n">
        <x:v>2.9</x:v>
      </x:c>
      <x:c r="I59" s="10" t="n">
        <x:v>0.7979</x:v>
      </x:c>
      <x:c r="J59" s="10" t="n">
        <x:f>XLOOKUP(A59,'日期维表'!$A$2:$A$43,'日期维表'!$F$2:$F$43,0)</x:f>
        <x:v>5</x:v>
      </x:c>
      <x:c r="K59" s="10" t="str">
        <x:f>XLOOKUP(B59,'产品维表'!$A$2:$A$5,'产品维表'!$B$2:$B$5,"未映射")</x:f>
        <x:v>L2</x:v>
      </x:c>
    </x:row>
    <x:row r="60" ht="15" hidden="0" customHeight="1">
      <x:c r="A60" s="10" t="n">
        <x:v>202303</x:v>
      </x:c>
      <x:c r="B60" s="10" t="n">
        <x:v>201</x:v>
      </x:c>
      <x:c r="C60" s="10" t="n">
        <x:v>0</x:v>
      </x:c>
      <x:c r="D60" s="10" t="n">
        <x:v>0</x:v>
      </x:c>
      <x:c r="E60" s="10" t="n">
        <x:v>0</x:v>
      </x:c>
      <x:c r="F60" s="10" t="n">
        <x:v>1</x:v>
      </x:c>
      <x:c r="G60" s="10" t="n">
        <x:v>8</x:v>
      </x:c>
      <x:c r="H60" s="10" t="n">
        <x:v>1.2</x:v>
      </x:c>
      <x:c r="I60" s="10" t="n">
        <x:v>0</x:v>
      </x:c>
      <x:c r="J60" s="10" t="n">
        <x:f>XLOOKUP(A60,'日期维表'!$A$2:$A$43,'日期维表'!$F$2:$F$43,0)</x:f>
        <x:v>5</x:v>
      </x:c>
      <x:c r="K60" s="10" t="str">
        <x:f>XLOOKUP(B60,'产品维表'!$A$2:$A$5,'产品维表'!$B$2:$B$5,"未映射")</x:f>
        <x:v>H1</x:v>
      </x:c>
    </x:row>
    <x:row r="61" ht="15" hidden="0" customHeight="1">
      <x:c r="A61" s="10" t="n">
        <x:v>202303</x:v>
      </x:c>
      <x:c r="B61" s="10" t="n">
        <x:v>202</x:v>
      </x:c>
      <x:c r="C61" s="10" t="n">
        <x:v>0</x:v>
      </x:c>
      <x:c r="D61" s="10" t="n">
        <x:v>0</x:v>
      </x:c>
      <x:c r="E61" s="10" t="n">
        <x:v>0</x:v>
      </x:c>
      <x:c r="F61" s="10" t="n">
        <x:v>1</x:v>
      </x:c>
      <x:c r="G61" s="10" t="n">
        <x:v>8.7</x:v>
      </x:c>
      <x:c r="H61" s="10" t="n">
        <x:v>2.4</x:v>
      </x:c>
      <x:c r="I61" s="10" t="n">
        <x:v>0</x:v>
      </x:c>
      <x:c r="J61" s="10" t="n">
        <x:f>XLOOKUP(A61,'日期维表'!$A$2:$A$43,'日期维表'!$F$2:$F$43,0)</x:f>
        <x:v>5</x:v>
      </x:c>
      <x:c r="K61" s="10" t="str">
        <x:f>XLOOKUP(B61,'产品维表'!$A$2:$A$5,'产品维表'!$B$2:$B$5,"未映射")</x:f>
        <x:v>H2</x:v>
      </x:c>
    </x:row>
    <x:row r="62" ht="15" hidden="0" customHeight="1">
      <x:c r="A62" s="10" t="n">
        <x:v>202304</x:v>
      </x:c>
      <x:c r="B62" s="10" t="n">
        <x:v>101</x:v>
      </x:c>
      <x:c r="C62" s="10" t="n">
        <x:v>89</x:v>
      </x:c>
      <x:c r="D62" s="10" t="n">
        <x:v>87</x:v>
      </x:c>
      <x:c r="E62" s="10" t="n">
        <x:v>2</x:v>
      </x:c>
      <x:c r="F62" s="10" t="n">
        <x:v>191</x:v>
      </x:c>
      <x:c r="G62" s="10" t="n">
        <x:v>2.3</x:v>
      </x:c>
      <x:c r="H62" s="10" t="n">
        <x:v>0.2</x:v>
      </x:c>
      <x:c r="I62" s="10" t="n">
        <x:v>0.466</x:v>
      </x:c>
      <x:c r="J62" s="10" t="n">
        <x:f>XLOOKUP(A62,'日期维表'!$A$2:$A$43,'日期维表'!$F$2:$F$43,0)</x:f>
        <x:v>6</x:v>
      </x:c>
      <x:c r="K62" s="10" t="str">
        <x:f>XLOOKUP(B62,'产品维表'!$A$2:$A$5,'产品维表'!$B$2:$B$5,"未映射")</x:f>
        <x:v>L1</x:v>
      </x:c>
    </x:row>
    <x:row r="63" ht="15" hidden="0" customHeight="1">
      <x:c r="A63" s="10" t="n">
        <x:v>202304</x:v>
      </x:c>
      <x:c r="B63" s="10" t="n">
        <x:v>102</x:v>
      </x:c>
      <x:c r="C63" s="10" t="n">
        <x:v>53</x:v>
      </x:c>
      <x:c r="D63" s="10" t="n">
        <x:v>52</x:v>
      </x:c>
      <x:c r="E63" s="10" t="n">
        <x:v>1</x:v>
      </x:c>
      <x:c r="F63" s="10" t="n">
        <x:v>115</x:v>
      </x:c>
      <x:c r="G63" s="10" t="n">
        <x:v>4.7</x:v>
      </x:c>
      <x:c r="H63" s="10" t="n">
        <x:v>2.4</x:v>
      </x:c>
      <x:c r="I63" s="10" t="n">
        <x:v>0.4609</x:v>
      </x:c>
      <x:c r="J63" s="10" t="n">
        <x:f>XLOOKUP(A63,'日期维表'!$A$2:$A$43,'日期维表'!$F$2:$F$43,0)</x:f>
        <x:v>6</x:v>
      </x:c>
      <x:c r="K63" s="10" t="str">
        <x:f>XLOOKUP(B63,'产品维表'!$A$2:$A$5,'产品维表'!$B$2:$B$5,"未映射")</x:f>
        <x:v>L2</x:v>
      </x:c>
    </x:row>
    <x:row r="64" ht="15" hidden="0" customHeight="1">
      <x:c r="A64" s="10" t="n">
        <x:v>202304</x:v>
      </x:c>
      <x:c r="B64" s="10" t="n">
        <x:v>201</x:v>
      </x:c>
      <x:c r="C64" s="10" t="n">
        <x:v>0</x:v>
      </x:c>
      <x:c r="D64" s="10" t="n">
        <x:v>0</x:v>
      </x:c>
      <x:c r="E64" s="10" t="n">
        <x:v>0</x:v>
      </x:c>
      <x:c r="F64" s="10" t="n">
        <x:v>2</x:v>
      </x:c>
      <x:c r="G64" s="10" t="n">
        <x:v>7.2</x:v>
      </x:c>
      <x:c r="H64" s="10" t="n">
        <x:v>1.9</x:v>
      </x:c>
      <x:c r="I64" s="10" t="n">
        <x:v>0</x:v>
      </x:c>
      <x:c r="J64" s="10" t="n">
        <x:f>XLOOKUP(A64,'日期维表'!$A$2:$A$43,'日期维表'!$F$2:$F$43,0)</x:f>
        <x:v>6</x:v>
      </x:c>
      <x:c r="K64" s="10" t="str">
        <x:f>XLOOKUP(B64,'产品维表'!$A$2:$A$5,'产品维表'!$B$2:$B$5,"未映射")</x:f>
        <x:v>H1</x:v>
      </x:c>
    </x:row>
    <x:row r="65" ht="15" hidden="0" customHeight="1">
      <x:c r="A65" s="10" t="n">
        <x:v>202304</x:v>
      </x:c>
      <x:c r="B65" s="10" t="n">
        <x:v>202</x:v>
      </x:c>
      <x:c r="C65" s="10" t="n">
        <x:v>0</x:v>
      </x:c>
      <x:c r="D65" s="10" t="n">
        <x:v>0</x:v>
      </x:c>
      <x:c r="E65" s="10" t="n">
        <x:v>0</x:v>
      </x:c>
      <x:c r="F65" s="10" t="n">
        <x:v>2</x:v>
      </x:c>
      <x:c r="G65" s="10" t="n">
        <x:v>3.8</x:v>
      </x:c>
      <x:c r="H65" s="10" t="n">
        <x:v>2</x:v>
      </x:c>
      <x:c r="I65" s="10" t="n">
        <x:v>0</x:v>
      </x:c>
      <x:c r="J65" s="10" t="n">
        <x:f>XLOOKUP(A65,'日期维表'!$A$2:$A$43,'日期维表'!$F$2:$F$43,0)</x:f>
        <x:v>6</x:v>
      </x:c>
      <x:c r="K65" s="10" t="str">
        <x:f>XLOOKUP(B65,'产品维表'!$A$2:$A$5,'产品维表'!$B$2:$B$5,"未映射")</x:f>
        <x:v>H2</x:v>
      </x:c>
    </x:row>
    <x:row r="66" ht="15" hidden="0" customHeight="1">
      <x:c r="A66" s="10" t="n">
        <x:v>202305</x:v>
      </x:c>
      <x:c r="B66" s="10" t="n">
        <x:v>101</x:v>
      </x:c>
      <x:c r="C66" s="10" t="n">
        <x:v>69</x:v>
      </x:c>
      <x:c r="D66" s="10" t="n">
        <x:v>68</x:v>
      </x:c>
      <x:c r="E66" s="10" t="n">
        <x:v>1</x:v>
      </x:c>
      <x:c r="F66" s="10" t="n">
        <x:v>135</x:v>
      </x:c>
      <x:c r="G66" s="10" t="n">
        <x:v>7.9</x:v>
      </x:c>
      <x:c r="H66" s="10" t="n">
        <x:v>0.6</x:v>
      </x:c>
      <x:c r="I66" s="10" t="n">
        <x:v>0.5111</x:v>
      </x:c>
      <x:c r="J66" s="10" t="n">
        <x:f>XLOOKUP(A66,'日期维表'!$A$2:$A$43,'日期维表'!$F$2:$F$43,0)</x:f>
        <x:v>6</x:v>
      </x:c>
      <x:c r="K66" s="10" t="str">
        <x:f>XLOOKUP(B66,'产品维表'!$A$2:$A$5,'产品维表'!$B$2:$B$5,"未映射")</x:f>
        <x:v>L1</x:v>
      </x:c>
    </x:row>
    <x:row r="67" ht="15" hidden="0" customHeight="1">
      <x:c r="A67" s="10" t="n">
        <x:v>202305</x:v>
      </x:c>
      <x:c r="B67" s="10" t="n">
        <x:v>102</x:v>
      </x:c>
      <x:c r="C67" s="10" t="n">
        <x:v>88</x:v>
      </x:c>
      <x:c r="D67" s="10" t="n">
        <x:v>86</x:v>
      </x:c>
      <x:c r="E67" s="10" t="n">
        <x:v>2</x:v>
      </x:c>
      <x:c r="F67" s="10" t="n">
        <x:v>171</x:v>
      </x:c>
      <x:c r="G67" s="10" t="n">
        <x:v>2.7</x:v>
      </x:c>
      <x:c r="H67" s="10" t="n">
        <x:v>2.7</x:v>
      </x:c>
      <x:c r="I67" s="10" t="n">
        <x:v>0.5146</x:v>
      </x:c>
      <x:c r="J67" s="10" t="n">
        <x:f>XLOOKUP(A67,'日期维表'!$A$2:$A$43,'日期维表'!$F$2:$F$43,0)</x:f>
        <x:v>6</x:v>
      </x:c>
      <x:c r="K67" s="10" t="str">
        <x:f>XLOOKUP(B67,'产品维表'!$A$2:$A$5,'产品维表'!$B$2:$B$5,"未映射")</x:f>
        <x:v>L2</x:v>
      </x:c>
    </x:row>
    <x:row r="68" ht="15" hidden="0" customHeight="1">
      <x:c r="A68" s="10" t="n">
        <x:v>202305</x:v>
      </x:c>
      <x:c r="B68" s="10" t="n">
        <x:v>201</x:v>
      </x:c>
      <x:c r="C68" s="10" t="n">
        <x:v>0</x:v>
      </x:c>
      <x:c r="D68" s="10" t="n">
        <x:v>0</x:v>
      </x:c>
      <x:c r="E68" s="10" t="n">
        <x:v>0</x:v>
      </x:c>
      <x:c r="F68" s="10" t="n">
        <x:v>2</x:v>
      </x:c>
      <x:c r="G68" s="10" t="n">
        <x:v>8.4</x:v>
      </x:c>
      <x:c r="H68" s="10" t="n">
        <x:v>0.5</x:v>
      </x:c>
      <x:c r="I68" s="10" t="n">
        <x:v>0</x:v>
      </x:c>
      <x:c r="J68" s="10" t="n">
        <x:f>XLOOKUP(A68,'日期维表'!$A$2:$A$43,'日期维表'!$F$2:$F$43,0)</x:f>
        <x:v>6</x:v>
      </x:c>
      <x:c r="K68" s="10" t="str">
        <x:f>XLOOKUP(B68,'产品维表'!$A$2:$A$5,'产品维表'!$B$2:$B$5,"未映射")</x:f>
        <x:v>H1</x:v>
      </x:c>
    </x:row>
    <x:row r="69" ht="15" hidden="0" customHeight="1">
      <x:c r="A69" s="10" t="n">
        <x:v>202305</x:v>
      </x:c>
      <x:c r="B69" s="10" t="n">
        <x:v>202</x:v>
      </x:c>
      <x:c r="C69" s="10" t="n">
        <x:v>0</x:v>
      </x:c>
      <x:c r="D69" s="10" t="n">
        <x:v>0</x:v>
      </x:c>
      <x:c r="E69" s="10" t="n">
        <x:v>0</x:v>
      </x:c>
      <x:c r="F69" s="10" t="n">
        <x:v>2</x:v>
      </x:c>
      <x:c r="G69" s="10" t="n">
        <x:v>5.9</x:v>
      </x:c>
      <x:c r="H69" s="10" t="n">
        <x:v>1.3</x:v>
      </x:c>
      <x:c r="I69" s="10" t="n">
        <x:v>0</x:v>
      </x:c>
      <x:c r="J69" s="10" t="n">
        <x:f>XLOOKUP(A69,'日期维表'!$A$2:$A$43,'日期维表'!$F$2:$F$43,0)</x:f>
        <x:v>6</x:v>
      </x:c>
      <x:c r="K69" s="10" t="str">
        <x:f>XLOOKUP(B69,'产品维表'!$A$2:$A$5,'产品维表'!$B$2:$B$5,"未映射")</x:f>
        <x:v>H2</x:v>
      </x:c>
    </x:row>
    <x:row r="70" ht="15" hidden="0" customHeight="1">
      <x:c r="A70" s="10" t="n">
        <x:v>202306</x:v>
      </x:c>
      <x:c r="B70" s="10" t="n">
        <x:v>101</x:v>
      </x:c>
      <x:c r="C70" s="10" t="n">
        <x:v>130</x:v>
      </x:c>
      <x:c r="D70" s="10" t="n">
        <x:v>128</x:v>
      </x:c>
      <x:c r="E70" s="10" t="n">
        <x:v>2</x:v>
      </x:c>
      <x:c r="F70" s="10" t="n">
        <x:v>218</x:v>
      </x:c>
      <x:c r="G70" s="10" t="n">
        <x:v>1.6</x:v>
      </x:c>
      <x:c r="H70" s="10" t="n">
        <x:v>1.9</x:v>
      </x:c>
      <x:c r="I70" s="10" t="n">
        <x:v>0.5963</x:v>
      </x:c>
      <x:c r="J70" s="10" t="n">
        <x:f>XLOOKUP(A70,'日期维表'!$A$2:$A$43,'日期维表'!$F$2:$F$43,0)</x:f>
        <x:v>6</x:v>
      </x:c>
      <x:c r="K70" s="10" t="str">
        <x:f>XLOOKUP(B70,'产品维表'!$A$2:$A$5,'产品维表'!$B$2:$B$5,"未映射")</x:f>
        <x:v>L1</x:v>
      </x:c>
    </x:row>
    <x:row r="71" ht="15" hidden="0" customHeight="1">
      <x:c r="A71" s="10" t="n">
        <x:v>202306</x:v>
      </x:c>
      <x:c r="B71" s="10" t="n">
        <x:v>102</x:v>
      </x:c>
      <x:c r="C71" s="10" t="n">
        <x:v>52</x:v>
      </x:c>
      <x:c r="D71" s="10" t="n">
        <x:v>51</x:v>
      </x:c>
      <x:c r="E71" s="10" t="n">
        <x:v>1</x:v>
      </x:c>
      <x:c r="F71" s="10" t="n">
        <x:v>88</x:v>
      </x:c>
      <x:c r="G71" s="10" t="n">
        <x:v>5.6</x:v>
      </x:c>
      <x:c r="H71" s="10" t="n">
        <x:v>0.3</x:v>
      </x:c>
      <x:c r="I71" s="10" t="n">
        <x:v>0.5909</x:v>
      </x:c>
      <x:c r="J71" s="10" t="n">
        <x:f>XLOOKUP(A71,'日期维表'!$A$2:$A$43,'日期维表'!$F$2:$F$43,0)</x:f>
        <x:v>6</x:v>
      </x:c>
      <x:c r="K71" s="10" t="str">
        <x:f>XLOOKUP(B71,'产品维表'!$A$2:$A$5,'产品维表'!$B$2:$B$5,"未映射")</x:f>
        <x:v>L2</x:v>
      </x:c>
    </x:row>
    <x:row r="72" ht="15" hidden="0" customHeight="1">
      <x:c r="A72" s="10" t="n">
        <x:v>202306</x:v>
      </x:c>
      <x:c r="B72" s="10" t="n">
        <x:v>201</x:v>
      </x:c>
      <x:c r="C72" s="10" t="n">
        <x:v>0</x:v>
      </x:c>
      <x:c r="D72" s="10" t="n">
        <x:v>0</x:v>
      </x:c>
      <x:c r="E72" s="10" t="n">
        <x:v>0</x:v>
      </x:c>
      <x:c r="F72" s="10" t="n">
        <x:v>2</x:v>
      </x:c>
      <x:c r="G72" s="10" t="n">
        <x:v>6.7</x:v>
      </x:c>
      <x:c r="H72" s="10" t="n">
        <x:v>1.2</x:v>
      </x:c>
      <x:c r="I72" s="10" t="n">
        <x:v>0</x:v>
      </x:c>
      <x:c r="J72" s="10" t="n">
        <x:f>XLOOKUP(A72,'日期维表'!$A$2:$A$43,'日期维表'!$F$2:$F$43,0)</x:f>
        <x:v>6</x:v>
      </x:c>
      <x:c r="K72" s="10" t="str">
        <x:f>XLOOKUP(B72,'产品维表'!$A$2:$A$5,'产品维表'!$B$2:$B$5,"未映射")</x:f>
        <x:v>H1</x:v>
      </x:c>
    </x:row>
    <x:row r="73" ht="15" hidden="0" customHeight="1">
      <x:c r="A73" s="10" t="n">
        <x:v>202306</x:v>
      </x:c>
      <x:c r="B73" s="10" t="n">
        <x:v>202</x:v>
      </x:c>
      <x:c r="C73" s="10" t="n">
        <x:v>0</x:v>
      </x:c>
      <x:c r="D73" s="10" t="n">
        <x:v>0</x:v>
      </x:c>
      <x:c r="E73" s="10" t="n">
        <x:v>0</x:v>
      </x:c>
      <x:c r="F73" s="10" t="n">
        <x:v>2</x:v>
      </x:c>
      <x:c r="G73" s="10" t="n">
        <x:v>6.2</x:v>
      </x:c>
      <x:c r="H73" s="10" t="n">
        <x:v>2.7</x:v>
      </x:c>
      <x:c r="I73" s="10" t="n">
        <x:v>0</x:v>
      </x:c>
      <x:c r="J73" s="10" t="n">
        <x:f>XLOOKUP(A73,'日期维表'!$A$2:$A$43,'日期维表'!$F$2:$F$43,0)</x:f>
        <x:v>6</x:v>
      </x:c>
      <x:c r="K73" s="10" t="str">
        <x:f>XLOOKUP(B73,'产品维表'!$A$2:$A$5,'产品维表'!$B$2:$B$5,"未映射")</x:f>
        <x:v>H2</x:v>
      </x:c>
    </x:row>
    <x:row r="74" ht="15" hidden="0" customHeight="1">
      <x:c r="A74" s="10" t="n">
        <x:v>202307</x:v>
      </x:c>
      <x:c r="B74" s="10" t="n">
        <x:v>101</x:v>
      </x:c>
      <x:c r="C74" s="10" t="n">
        <x:v>2</x:v>
      </x:c>
      <x:c r="D74" s="10" t="n">
        <x:v>2</x:v>
      </x:c>
      <x:c r="E74" s="10" t="n">
        <x:v>0</x:v>
      </x:c>
      <x:c r="F74" s="10" t="n">
        <x:v>142</x:v>
      </x:c>
      <x:c r="G74" s="10" t="n">
        <x:v>7</x:v>
      </x:c>
      <x:c r="H74" s="10" t="n">
        <x:v>2.2</x:v>
      </x:c>
      <x:c r="I74" s="10" t="n">
        <x:v>0.0141</x:v>
      </x:c>
      <x:c r="J74" s="10" t="n">
        <x:f>XLOOKUP(A74,'日期维表'!$A$2:$A$43,'日期维表'!$F$2:$F$43,0)</x:f>
        <x:v>7</x:v>
      </x:c>
      <x:c r="K74" s="10" t="str">
        <x:f>XLOOKUP(B74,'产品维表'!$A$2:$A$5,'产品维表'!$B$2:$B$5,"未映射")</x:f>
        <x:v>L1</x:v>
      </x:c>
    </x:row>
    <x:row r="75" ht="15" hidden="0" customHeight="1">
      <x:c r="A75" s="10" t="n">
        <x:v>202307</x:v>
      </x:c>
      <x:c r="B75" s="10" t="n">
        <x:v>102</x:v>
      </x:c>
      <x:c r="C75" s="10" t="n">
        <x:v>1</x:v>
      </x:c>
      <x:c r="D75" s="10" t="n">
        <x:v>1</x:v>
      </x:c>
      <x:c r="E75" s="10" t="n">
        <x:v>0</x:v>
      </x:c>
      <x:c r="F75" s="10" t="n">
        <x:v>94</x:v>
      </x:c>
      <x:c r="G75" s="10" t="n">
        <x:v>9</x:v>
      </x:c>
      <x:c r="H75" s="10" t="n">
        <x:v>2.3</x:v>
      </x:c>
      <x:c r="I75" s="10" t="n">
        <x:v>0.0106</x:v>
      </x:c>
      <x:c r="J75" s="10" t="n">
        <x:f>XLOOKUP(A75,'日期维表'!$A$2:$A$43,'日期维表'!$F$2:$F$43,0)</x:f>
        <x:v>7</x:v>
      </x:c>
      <x:c r="K75" s="10" t="str">
        <x:f>XLOOKUP(B75,'产品维表'!$A$2:$A$5,'产品维表'!$B$2:$B$5,"未映射")</x:f>
        <x:v>L2</x:v>
      </x:c>
    </x:row>
    <x:row r="76" ht="15" hidden="0" customHeight="1">
      <x:c r="A76" s="10" t="n">
        <x:v>202307</x:v>
      </x:c>
      <x:c r="B76" s="10" t="n">
        <x:v>201</x:v>
      </x:c>
      <x:c r="C76" s="10" t="n">
        <x:v>0</x:v>
      </x:c>
      <x:c r="D76" s="10" t="n">
        <x:v>0</x:v>
      </x:c>
      <x:c r="E76" s="10" t="n">
        <x:v>0</x:v>
      </x:c>
      <x:c r="F76" s="10" t="n">
        <x:v>47</x:v>
      </x:c>
      <x:c r="G76" s="10" t="n">
        <x:v>7.1</x:v>
      </x:c>
      <x:c r="H76" s="10" t="n">
        <x:v>1.4</x:v>
      </x:c>
      <x:c r="I76" s="10" t="n">
        <x:v>0</x:v>
      </x:c>
      <x:c r="J76" s="10" t="n">
        <x:f>XLOOKUP(A76,'日期维表'!$A$2:$A$43,'日期维表'!$F$2:$F$43,0)</x:f>
        <x:v>7</x:v>
      </x:c>
      <x:c r="K76" s="10" t="str">
        <x:f>XLOOKUP(B76,'产品维表'!$A$2:$A$5,'产品维表'!$B$2:$B$5,"未映射")</x:f>
        <x:v>H1</x:v>
      </x:c>
    </x:row>
    <x:row r="77" ht="15" hidden="0" customHeight="1">
      <x:c r="A77" s="10" t="n">
        <x:v>202307</x:v>
      </x:c>
      <x:c r="B77" s="10" t="n">
        <x:v>202</x:v>
      </x:c>
      <x:c r="C77" s="10" t="n">
        <x:v>0</x:v>
      </x:c>
      <x:c r="D77" s="10" t="n">
        <x:v>0</x:v>
      </x:c>
      <x:c r="E77" s="10" t="n">
        <x:v>0</x:v>
      </x:c>
      <x:c r="F77" s="10" t="n">
        <x:v>47</x:v>
      </x:c>
      <x:c r="G77" s="10" t="n">
        <x:v>6.5</x:v>
      </x:c>
      <x:c r="H77" s="10" t="n">
        <x:v>2</x:v>
      </x:c>
      <x:c r="I77" s="10" t="n">
        <x:v>0</x:v>
      </x:c>
      <x:c r="J77" s="10" t="n">
        <x:f>XLOOKUP(A77,'日期维表'!$A$2:$A$43,'日期维表'!$F$2:$F$43,0)</x:f>
        <x:v>7</x:v>
      </x:c>
      <x:c r="K77" s="10" t="str">
        <x:f>XLOOKUP(B77,'产品维表'!$A$2:$A$5,'产品维表'!$B$2:$B$5,"未映射")</x:f>
        <x:v>H2</x:v>
      </x:c>
    </x:row>
    <x:row r="78" ht="15" hidden="0" customHeight="1">
      <x:c r="A78" s="10" t="n">
        <x:v>202308</x:v>
      </x:c>
      <x:c r="B78" s="10" t="n">
        <x:v>101</x:v>
      </x:c>
      <x:c r="C78" s="10" t="n">
        <x:v>0</x:v>
      </x:c>
      <x:c r="D78" s="10" t="n">
        <x:v>0</x:v>
      </x:c>
      <x:c r="E78" s="10" t="n">
        <x:v>0</x:v>
      </x:c>
      <x:c r="F78" s="10" t="n">
        <x:v>82</x:v>
      </x:c>
      <x:c r="G78" s="10" t="n">
        <x:v>9.8</x:v>
      </x:c>
      <x:c r="H78" s="10" t="n">
        <x:v>1.6</x:v>
      </x:c>
      <x:c r="I78" s="10" t="n">
        <x:v>0</x:v>
      </x:c>
      <x:c r="J78" s="10" t="n">
        <x:f>XLOOKUP(A78,'日期维表'!$A$2:$A$43,'日期维表'!$F$2:$F$43,0)</x:f>
        <x:v>7</x:v>
      </x:c>
      <x:c r="K78" s="10" t="str">
        <x:f>XLOOKUP(B78,'产品维表'!$A$2:$A$5,'产品维表'!$B$2:$B$5,"未映射")</x:f>
        <x:v>L1</x:v>
      </x:c>
    </x:row>
    <x:row r="79" ht="15" hidden="0" customHeight="1">
      <x:c r="A79" s="10" t="n">
        <x:v>202308</x:v>
      </x:c>
      <x:c r="B79" s="10" t="n">
        <x:v>102</x:v>
      </x:c>
      <x:c r="C79" s="10" t="n">
        <x:v>0</x:v>
      </x:c>
      <x:c r="D79" s="10" t="n">
        <x:v>0</x:v>
      </x:c>
      <x:c r="E79" s="10" t="n">
        <x:v>0</x:v>
      </x:c>
      <x:c r="F79" s="10" t="n">
        <x:v>82</x:v>
      </x:c>
      <x:c r="G79" s="10" t="n">
        <x:v>5.2</x:v>
      </x:c>
      <x:c r="H79" s="10" t="n">
        <x:v>2.6</x:v>
      </x:c>
      <x:c r="I79" s="10" t="n">
        <x:v>0</x:v>
      </x:c>
      <x:c r="J79" s="10" t="n">
        <x:f>XLOOKUP(A79,'日期维表'!$A$2:$A$43,'日期维表'!$F$2:$F$43,0)</x:f>
        <x:v>7</x:v>
      </x:c>
      <x:c r="K79" s="10" t="str">
        <x:f>XLOOKUP(B79,'产品维表'!$A$2:$A$5,'产品维表'!$B$2:$B$5,"未映射")</x:f>
        <x:v>L2</x:v>
      </x:c>
    </x:row>
    <x:row r="80" ht="15" hidden="0" customHeight="1">
      <x:c r="A80" s="10" t="n">
        <x:v>202308</x:v>
      </x:c>
      <x:c r="B80" s="10" t="n">
        <x:v>201</x:v>
      </x:c>
      <x:c r="C80" s="10" t="n">
        <x:v>0</x:v>
      </x:c>
      <x:c r="D80" s="10" t="n">
        <x:v>0</x:v>
      </x:c>
      <x:c r="E80" s="10" t="n">
        <x:v>0</x:v>
      </x:c>
      <x:c r="F80" s="10" t="n">
        <x:v>82</x:v>
      </x:c>
      <x:c r="G80" s="10" t="n">
        <x:v>6.4</x:v>
      </x:c>
      <x:c r="H80" s="10" t="n">
        <x:v>1.4</x:v>
      </x:c>
      <x:c r="I80" s="10" t="n">
        <x:v>0</x:v>
      </x:c>
      <x:c r="J80" s="10" t="n">
        <x:f>XLOOKUP(A80,'日期维表'!$A$2:$A$43,'日期维表'!$F$2:$F$43,0)</x:f>
        <x:v>7</x:v>
      </x:c>
      <x:c r="K80" s="10" t="str">
        <x:f>XLOOKUP(B80,'产品维表'!$A$2:$A$5,'产品维表'!$B$2:$B$5,"未映射")</x:f>
        <x:v>H1</x:v>
      </x:c>
    </x:row>
    <x:row r="81" ht="15" hidden="0" customHeight="1">
      <x:c r="A81" s="10" t="n">
        <x:v>202308</x:v>
      </x:c>
      <x:c r="B81" s="10" t="n">
        <x:v>202</x:v>
      </x:c>
      <x:c r="C81" s="10" t="n">
        <x:v>0</x:v>
      </x:c>
      <x:c r="D81" s="10" t="n">
        <x:v>0</x:v>
      </x:c>
      <x:c r="E81" s="10" t="n">
        <x:v>0</x:v>
      </x:c>
      <x:c r="F81" s="10" t="n">
        <x:v>84</x:v>
      </x:c>
      <x:c r="G81" s="10" t="n">
        <x:v>1.6</x:v>
      </x:c>
      <x:c r="H81" s="10" t="n">
        <x:v>0.8</x:v>
      </x:c>
      <x:c r="I81" s="10" t="n">
        <x:v>0</x:v>
      </x:c>
      <x:c r="J81" s="10" t="n">
        <x:f>XLOOKUP(A81,'日期维表'!$A$2:$A$43,'日期维表'!$F$2:$F$43,0)</x:f>
        <x:v>7</x:v>
      </x:c>
      <x:c r="K81" s="10" t="str">
        <x:f>XLOOKUP(B81,'产品维表'!$A$2:$A$5,'产品维表'!$B$2:$B$5,"未映射")</x:f>
        <x:v>H2</x:v>
      </x:c>
    </x:row>
    <x:row r="82" ht="15" hidden="0" customHeight="1">
      <x:c r="A82" s="10" t="n">
        <x:v>202309</x:v>
      </x:c>
      <x:c r="B82" s="10" t="n">
        <x:v>101</x:v>
      </x:c>
      <x:c r="C82" s="10" t="n">
        <x:v>0</x:v>
      </x:c>
      <x:c r="D82" s="10" t="n">
        <x:v>0</x:v>
      </x:c>
      <x:c r="E82" s="10" t="n">
        <x:v>0</x:v>
      </x:c>
      <x:c r="F82" s="10" t="n">
        <x:v>82</x:v>
      </x:c>
      <x:c r="G82" s="10" t="n">
        <x:v>7</x:v>
      </x:c>
      <x:c r="H82" s="10" t="n">
        <x:v>0.9</x:v>
      </x:c>
      <x:c r="I82" s="10" t="n">
        <x:v>0</x:v>
      </x:c>
      <x:c r="J82" s="10" t="n">
        <x:f>XLOOKUP(A82,'日期维表'!$A$2:$A$43,'日期维表'!$F$2:$F$43,0)</x:f>
        <x:v>7</x:v>
      </x:c>
      <x:c r="K82" s="10" t="str">
        <x:f>XLOOKUP(B82,'产品维表'!$A$2:$A$5,'产品维表'!$B$2:$B$5,"未映射")</x:f>
        <x:v>L1</x:v>
      </x:c>
    </x:row>
    <x:row r="83" ht="15" hidden="0" customHeight="1">
      <x:c r="A83" s="10" t="n">
        <x:v>202309</x:v>
      </x:c>
      <x:c r="B83" s="10" t="n">
        <x:v>102</x:v>
      </x:c>
      <x:c r="C83" s="10" t="n">
        <x:v>0</x:v>
      </x:c>
      <x:c r="D83" s="10" t="n">
        <x:v>0</x:v>
      </x:c>
      <x:c r="E83" s="10" t="n">
        <x:v>0</x:v>
      </x:c>
      <x:c r="F83" s="10" t="n">
        <x:v>82</x:v>
      </x:c>
      <x:c r="G83" s="10" t="n">
        <x:v>8.4</x:v>
      </x:c>
      <x:c r="H83" s="10" t="n">
        <x:v>2.8</x:v>
      </x:c>
      <x:c r="I83" s="10" t="n">
        <x:v>0</x:v>
      </x:c>
      <x:c r="J83" s="10" t="n">
        <x:f>XLOOKUP(A83,'日期维表'!$A$2:$A$43,'日期维表'!$F$2:$F$43,0)</x:f>
        <x:v>7</x:v>
      </x:c>
      <x:c r="K83" s="10" t="str">
        <x:f>XLOOKUP(B83,'产品维表'!$A$2:$A$5,'产品维表'!$B$2:$B$5,"未映射")</x:f>
        <x:v>L2</x:v>
      </x:c>
    </x:row>
    <x:row r="84" ht="15" hidden="0" customHeight="1">
      <x:c r="A84" s="10" t="n">
        <x:v>202309</x:v>
      </x:c>
      <x:c r="B84" s="10" t="n">
        <x:v>201</x:v>
      </x:c>
      <x:c r="C84" s="10" t="n">
        <x:v>0</x:v>
      </x:c>
      <x:c r="D84" s="10" t="n">
        <x:v>0</x:v>
      </x:c>
      <x:c r="E84" s="10" t="n">
        <x:v>0</x:v>
      </x:c>
      <x:c r="F84" s="10" t="n">
        <x:v>82</x:v>
      </x:c>
      <x:c r="G84" s="10" t="n">
        <x:v>3.6</x:v>
      </x:c>
      <x:c r="H84" s="10" t="n">
        <x:v>1.9</x:v>
      </x:c>
      <x:c r="I84" s="10" t="n">
        <x:v>0</x:v>
      </x:c>
      <x:c r="J84" s="10" t="n">
        <x:f>XLOOKUP(A84,'日期维表'!$A$2:$A$43,'日期维表'!$F$2:$F$43,0)</x:f>
        <x:v>7</x:v>
      </x:c>
      <x:c r="K84" s="10" t="str">
        <x:f>XLOOKUP(B84,'产品维表'!$A$2:$A$5,'产品维表'!$B$2:$B$5,"未映射")</x:f>
        <x:v>H1</x:v>
      </x:c>
    </x:row>
    <x:row r="85" ht="15" hidden="0" customHeight="1">
      <x:c r="A85" s="10" t="n">
        <x:v>202309</x:v>
      </x:c>
      <x:c r="B85" s="10" t="n">
        <x:v>202</x:v>
      </x:c>
      <x:c r="C85" s="10" t="n">
        <x:v>0</x:v>
      </x:c>
      <x:c r="D85" s="10" t="n">
        <x:v>0</x:v>
      </x:c>
      <x:c r="E85" s="10" t="n">
        <x:v>0</x:v>
      </x:c>
      <x:c r="F85" s="10" t="n">
        <x:v>84</x:v>
      </x:c>
      <x:c r="G85" s="10" t="n">
        <x:v>6.9</x:v>
      </x:c>
      <x:c r="H85" s="10" t="n">
        <x:v>2.5</x:v>
      </x:c>
      <x:c r="I85" s="10" t="n">
        <x:v>0</x:v>
      </x:c>
      <x:c r="J85" s="10" t="n">
        <x:f>XLOOKUP(A85,'日期维表'!$A$2:$A$43,'日期维表'!$F$2:$F$43,0)</x:f>
        <x:v>7</x:v>
      </x:c>
      <x:c r="K85" s="10" t="str">
        <x:f>XLOOKUP(B85,'产品维表'!$A$2:$A$5,'产品维表'!$B$2:$B$5,"未映射")</x:f>
        <x:v>H2</x:v>
      </x:c>
    </x:row>
    <x:row r="86" ht="15" hidden="0" customHeight="1">
      <x:c r="A86" s="10" t="n">
        <x:v>202310</x:v>
      </x:c>
      <x:c r="B86" s="10" t="n">
        <x:v>101</x:v>
      </x:c>
      <x:c r="C86" s="10" t="n">
        <x:v>190</x:v>
      </x:c>
      <x:c r="D86" s="10" t="n">
        <x:v>188</x:v>
      </x:c>
      <x:c r="E86" s="10" t="n">
        <x:v>2</x:v>
      </x:c>
      <x:c r="F86" s="10" t="n">
        <x:v>298</x:v>
      </x:c>
      <x:c r="G86" s="10" t="n">
        <x:v>3.5</x:v>
      </x:c>
      <x:c r="H86" s="10" t="n">
        <x:v>0.8</x:v>
      </x:c>
      <x:c r="I86" s="10" t="n">
        <x:v>0.6376</x:v>
      </x:c>
      <x:c r="J86" s="10" t="n">
        <x:f>XLOOKUP(A86,'日期维表'!$A$2:$A$43,'日期维表'!$F$2:$F$43,0)</x:f>
        <x:v>8</x:v>
      </x:c>
      <x:c r="K86" s="10" t="str">
        <x:f>XLOOKUP(B86,'产品维表'!$A$2:$A$5,'产品维表'!$B$2:$B$5,"未映射")</x:f>
        <x:v>L1</x:v>
      </x:c>
    </x:row>
    <x:row r="87" ht="15" hidden="0" customHeight="1">
      <x:c r="A87" s="10" t="n">
        <x:v>202310</x:v>
      </x:c>
      <x:c r="B87" s="10" t="n">
        <x:v>102</x:v>
      </x:c>
      <x:c r="C87" s="10" t="n">
        <x:v>56</x:v>
      </x:c>
      <x:c r="D87" s="10" t="n">
        <x:v>55</x:v>
      </x:c>
      <x:c r="E87" s="10" t="n">
        <x:v>1</x:v>
      </x:c>
      <x:c r="F87" s="10" t="n">
        <x:v>89</x:v>
      </x:c>
      <x:c r="G87" s="10" t="n">
        <x:v>3</x:v>
      </x:c>
      <x:c r="H87" s="10" t="n">
        <x:v>2.4</x:v>
      </x:c>
      <x:c r="I87" s="10" t="n">
        <x:v>0.6292</x:v>
      </x:c>
      <x:c r="J87" s="10" t="n">
        <x:f>XLOOKUP(A87,'日期维表'!$A$2:$A$43,'日期维表'!$F$2:$F$43,0)</x:f>
        <x:v>8</x:v>
      </x:c>
      <x:c r="K87" s="10" t="str">
        <x:f>XLOOKUP(B87,'产品维表'!$A$2:$A$5,'产品维表'!$B$2:$B$5,"未映射")</x:f>
        <x:v>L2</x:v>
      </x:c>
    </x:row>
    <x:row r="88" ht="15" hidden="0" customHeight="1">
      <x:c r="A88" s="10" t="n">
        <x:v>202310</x:v>
      </x:c>
      <x:c r="B88" s="10" t="n">
        <x:v>201</x:v>
      </x:c>
      <x:c r="C88" s="10" t="n">
        <x:v>0</x:v>
      </x:c>
      <x:c r="D88" s="10" t="n">
        <x:v>0</x:v>
      </x:c>
      <x:c r="E88" s="10" t="n">
        <x:v>0</x:v>
      </x:c>
      <x:c r="F88" s="10" t="n">
        <x:v>2</x:v>
      </x:c>
      <x:c r="G88" s="10" t="n">
        <x:v>8.6</x:v>
      </x:c>
      <x:c r="H88" s="10" t="n">
        <x:v>0.5</x:v>
      </x:c>
      <x:c r="I88" s="10" t="n">
        <x:v>0</x:v>
      </x:c>
      <x:c r="J88" s="10" t="n">
        <x:f>XLOOKUP(A88,'日期维表'!$A$2:$A$43,'日期维表'!$F$2:$F$43,0)</x:f>
        <x:v>8</x:v>
      </x:c>
      <x:c r="K88" s="10" t="str">
        <x:f>XLOOKUP(B88,'产品维表'!$A$2:$A$5,'产品维表'!$B$2:$B$5,"未映射")</x:f>
        <x:v>H1</x:v>
      </x:c>
    </x:row>
    <x:row r="89" ht="15" hidden="0" customHeight="1">
      <x:c r="A89" s="10" t="n">
        <x:v>202310</x:v>
      </x:c>
      <x:c r="B89" s="10" t="n">
        <x:v>202</x:v>
      </x:c>
      <x:c r="C89" s="10" t="n">
        <x:v>0</x:v>
      </x:c>
      <x:c r="D89" s="10" t="n">
        <x:v>0</x:v>
      </x:c>
      <x:c r="E89" s="10" t="n">
        <x:v>0</x:v>
      </x:c>
      <x:c r="F89" s="10" t="n">
        <x:v>1</x:v>
      </x:c>
      <x:c r="G89" s="10" t="n">
        <x:v>9.4</x:v>
      </x:c>
      <x:c r="H89" s="10" t="n">
        <x:v>0.8</x:v>
      </x:c>
      <x:c r="I89" s="10" t="n">
        <x:v>0</x:v>
      </x:c>
      <x:c r="J89" s="10" t="n">
        <x:f>XLOOKUP(A89,'日期维表'!$A$2:$A$43,'日期维表'!$F$2:$F$43,0)</x:f>
        <x:v>8</x:v>
      </x:c>
      <x:c r="K89" s="10" t="str">
        <x:f>XLOOKUP(B89,'产品维表'!$A$2:$A$5,'产品维表'!$B$2:$B$5,"未映射")</x:f>
        <x:v>H2</x:v>
      </x:c>
    </x:row>
    <x:row r="90" ht="15" hidden="0" customHeight="1">
      <x:c r="A90" s="10" t="n">
        <x:v>202311</x:v>
      </x:c>
      <x:c r="B90" s="10" t="n">
        <x:v>101</x:v>
      </x:c>
      <x:c r="C90" s="10" t="n">
        <x:v>243</x:v>
      </x:c>
      <x:c r="D90" s="10" t="n">
        <x:v>239</x:v>
      </x:c>
      <x:c r="E90" s="10" t="n">
        <x:v>4</x:v>
      </x:c>
      <x:c r="F90" s="10" t="n">
        <x:v>309</x:v>
      </x:c>
      <x:c r="G90" s="10" t="n">
        <x:v>3.1</x:v>
      </x:c>
      <x:c r="H90" s="10" t="n">
        <x:v>1.7</x:v>
      </x:c>
      <x:c r="I90" s="10" t="n">
        <x:v>0.7864</x:v>
      </x:c>
      <x:c r="J90" s="10" t="n">
        <x:f>XLOOKUP(A90,'日期维表'!$A$2:$A$43,'日期维表'!$F$2:$F$43,0)</x:f>
        <x:v>8</x:v>
      </x:c>
      <x:c r="K90" s="10" t="str">
        <x:f>XLOOKUP(B90,'产品维表'!$A$2:$A$5,'产品维表'!$B$2:$B$5,"未映射")</x:f>
        <x:v>L1</x:v>
      </x:c>
    </x:row>
    <x:row r="91" ht="15" hidden="0" customHeight="1">
      <x:c r="A91" s="10" t="n">
        <x:v>202311</x:v>
      </x:c>
      <x:c r="B91" s="10" t="n">
        <x:v>102</x:v>
      </x:c>
      <x:c r="C91" s="10" t="n">
        <x:v>61</x:v>
      </x:c>
      <x:c r="D91" s="10" t="n">
        <x:v>60</x:v>
      </x:c>
      <x:c r="E91" s="10" t="n">
        <x:v>1</x:v>
      </x:c>
      <x:c r="F91" s="10" t="n">
        <x:v>79</x:v>
      </x:c>
      <x:c r="G91" s="10" t="n">
        <x:v>5.6</x:v>
      </x:c>
      <x:c r="H91" s="10" t="n">
        <x:v>1</x:v>
      </x:c>
      <x:c r="I91" s="10" t="n">
        <x:v>0.7722</x:v>
      </x:c>
      <x:c r="J91" s="10" t="n">
        <x:f>XLOOKUP(A91,'日期维表'!$A$2:$A$43,'日期维表'!$F$2:$F$43,0)</x:f>
        <x:v>8</x:v>
      </x:c>
      <x:c r="K91" s="10" t="str">
        <x:f>XLOOKUP(B91,'产品维表'!$A$2:$A$5,'产品维表'!$B$2:$B$5,"未映射")</x:f>
        <x:v>L2</x:v>
      </x:c>
    </x:row>
    <x:row r="92" ht="15" hidden="0" customHeight="1">
      <x:c r="A92" s="10" t="n">
        <x:v>202311</x:v>
      </x:c>
      <x:c r="B92" s="10" t="n">
        <x:v>201</x:v>
      </x:c>
      <x:c r="C92" s="10" t="n">
        <x:v>0</x:v>
      </x:c>
      <x:c r="D92" s="10" t="n">
        <x:v>0</x:v>
      </x:c>
      <x:c r="E92" s="10" t="n">
        <x:v>0</x:v>
      </x:c>
      <x:c r="F92" s="10" t="n">
        <x:v>1</x:v>
      </x:c>
      <x:c r="G92" s="10" t="n">
        <x:v>3.3</x:v>
      </x:c>
      <x:c r="H92" s="10" t="n">
        <x:v>0.7</x:v>
      </x:c>
      <x:c r="I92" s="10" t="n">
        <x:v>0</x:v>
      </x:c>
      <x:c r="J92" s="10" t="n">
        <x:f>XLOOKUP(A92,'日期维表'!$A$2:$A$43,'日期维表'!$F$2:$F$43,0)</x:f>
        <x:v>8</x:v>
      </x:c>
      <x:c r="K92" s="10" t="str">
        <x:f>XLOOKUP(B92,'产品维表'!$A$2:$A$5,'产品维表'!$B$2:$B$5,"未映射")</x:f>
        <x:v>H1</x:v>
      </x:c>
    </x:row>
    <x:row r="93" ht="15" hidden="0" customHeight="1">
      <x:c r="A93" s="10" t="n">
        <x:v>202311</x:v>
      </x:c>
      <x:c r="B93" s="10" t="n">
        <x:v>202</x:v>
      </x:c>
      <x:c r="C93" s="10" t="n">
        <x:v>0</x:v>
      </x:c>
      <x:c r="D93" s="10" t="n">
        <x:v>0</x:v>
      </x:c>
      <x:c r="E93" s="10" t="n">
        <x:v>0</x:v>
      </x:c>
      <x:c r="F93" s="10" t="n">
        <x:v>1</x:v>
      </x:c>
      <x:c r="G93" s="10" t="n">
        <x:v>5.2</x:v>
      </x:c>
      <x:c r="H93" s="10" t="n">
        <x:v>1.6</x:v>
      </x:c>
      <x:c r="I93" s="10" t="n">
        <x:v>0</x:v>
      </x:c>
      <x:c r="J93" s="10" t="n">
        <x:f>XLOOKUP(A93,'日期维表'!$A$2:$A$43,'日期维表'!$F$2:$F$43,0)</x:f>
        <x:v>8</x:v>
      </x:c>
      <x:c r="K93" s="10" t="str">
        <x:f>XLOOKUP(B93,'产品维表'!$A$2:$A$5,'产品维表'!$B$2:$B$5,"未映射")</x:f>
        <x:v>H2</x:v>
      </x:c>
    </x:row>
    <x:row r="94" ht="15" hidden="0" customHeight="1">
      <x:c r="A94" s="10" t="n">
        <x:v>202312</x:v>
      </x:c>
      <x:c r="B94" s="10" t="n">
        <x:v>101</x:v>
      </x:c>
      <x:c r="C94" s="10" t="n">
        <x:v>223</x:v>
      </x:c>
      <x:c r="D94" s="10" t="n">
        <x:v>193</x:v>
      </x:c>
      <x:c r="E94" s="10" t="n">
        <x:v>5</x:v>
      </x:c>
      <x:c r="F94" s="10" t="n">
        <x:v>198</x:v>
      </x:c>
      <x:c r="G94" s="10" t="n">
        <x:v>5.7</x:v>
      </x:c>
      <x:c r="H94" s="10" t="n">
        <x:v>31.1</x:v>
      </x:c>
      <x:c r="I94" s="10" t="n">
        <x:v>1</x:v>
      </x:c>
      <x:c r="J94" s="10" t="n">
        <x:f>XLOOKUP(A94,'日期维表'!$A$2:$A$43,'日期维表'!$F$2:$F$43,0)</x:f>
        <x:v>8</x:v>
      </x:c>
      <x:c r="K94" s="10" t="str">
        <x:f>XLOOKUP(B94,'产品维表'!$A$2:$A$5,'产品维表'!$B$2:$B$5,"未映射")</x:f>
        <x:v>L1</x:v>
      </x:c>
    </x:row>
    <x:row r="95" ht="15" hidden="0" customHeight="1">
      <x:c r="A95" s="10" t="n">
        <x:v>202312</x:v>
      </x:c>
      <x:c r="B95" s="10" t="n">
        <x:v>102</x:v>
      </x:c>
      <x:c r="C95" s="10" t="n">
        <x:v>125</x:v>
      </x:c>
      <x:c r="D95" s="10" t="n">
        <x:v>109</x:v>
      </x:c>
      <x:c r="E95" s="10" t="n">
        <x:v>2</x:v>
      </x:c>
      <x:c r="F95" s="10" t="n">
        <x:v>111</x:v>
      </x:c>
      <x:c r="G95" s="10" t="n">
        <x:v>6.4</x:v>
      </x:c>
      <x:c r="H95" s="10" t="n">
        <x:v>30.5</x:v>
      </x:c>
      <x:c r="I95" s="10" t="n">
        <x:v>1</x:v>
      </x:c>
      <x:c r="J95" s="10" t="n">
        <x:f>XLOOKUP(A95,'日期维表'!$A$2:$A$43,'日期维表'!$F$2:$F$43,0)</x:f>
        <x:v>8</x:v>
      </x:c>
      <x:c r="K95" s="10" t="str">
        <x:f>XLOOKUP(B95,'产品维表'!$A$2:$A$5,'产品维表'!$B$2:$B$5,"未映射")</x:f>
        <x:v>L2</x:v>
      </x:c>
    </x:row>
    <x:row r="96" ht="15" hidden="0" customHeight="1">
      <x:c r="A96" s="10" t="n">
        <x:v>202312</x:v>
      </x:c>
      <x:c r="B96" s="10" t="n">
        <x:v>201</x:v>
      </x:c>
      <x:c r="C96" s="10" t="n">
        <x:v>45</x:v>
      </x:c>
      <x:c r="D96" s="10" t="n">
        <x:v>40</x:v>
      </x:c>
      <x:c r="E96" s="10" t="n">
        <x:v>1</x:v>
      </x:c>
      <x:c r="F96" s="10" t="n">
        <x:v>41</x:v>
      </x:c>
      <x:c r="G96" s="10" t="n">
        <x:v>9.1</x:v>
      </x:c>
      <x:c r="H96" s="10" t="n">
        <x:v>29.3</x:v>
      </x:c>
      <x:c r="I96" s="10" t="n">
        <x:v>1</x:v>
      </x:c>
      <x:c r="J96" s="10" t="n">
        <x:f>XLOOKUP(A96,'日期维表'!$A$2:$A$43,'日期维表'!$F$2:$F$43,0)</x:f>
        <x:v>8</x:v>
      </x:c>
      <x:c r="K96" s="10" t="str">
        <x:f>XLOOKUP(B96,'产品维表'!$A$2:$A$5,'产品维表'!$B$2:$B$5,"未映射")</x:f>
        <x:v>H1</x:v>
      </x:c>
    </x:row>
    <x:row r="97" ht="15" hidden="0" customHeight="1">
      <x:c r="A97" s="10" t="n">
        <x:v>202312</x:v>
      </x:c>
      <x:c r="B97" s="10" t="n">
        <x:v>202</x:v>
      </x:c>
      <x:c r="C97" s="10" t="n">
        <x:v>45</x:v>
      </x:c>
      <x:c r="D97" s="10" t="n">
        <x:v>39</x:v>
      </x:c>
      <x:c r="E97" s="10" t="n">
        <x:v>1</x:v>
      </x:c>
      <x:c r="F97" s="10" t="n">
        <x:v>40</x:v>
      </x:c>
      <x:c r="G97" s="10" t="n">
        <x:v>5.4</x:v>
      </x:c>
      <x:c r="H97" s="10" t="n">
        <x:v>29.3</x:v>
      </x:c>
      <x:c r="I97" s="10" t="n">
        <x:v>1</x:v>
      </x:c>
      <x:c r="J97" s="10" t="n">
        <x:f>XLOOKUP(A97,'日期维表'!$A$2:$A$43,'日期维表'!$F$2:$F$43,0)</x:f>
        <x:v>8</x:v>
      </x:c>
      <x:c r="K97" s="10" t="str">
        <x:f>XLOOKUP(B97,'产品维表'!$A$2:$A$5,'产品维表'!$B$2:$B$5,"未映射")</x:f>
        <x:v>H2</x:v>
      </x:c>
    </x:row>
    <x:row r="98" ht="15" hidden="0" customHeight="1">
      <x:c r="A98" s="10" t="n">
        <x:v>202401</x:v>
      </x:c>
      <x:c r="B98" s="10" t="n">
        <x:v>101</x:v>
      </x:c>
      <x:c r="C98" s="10" t="n">
        <x:v>73</x:v>
      </x:c>
      <x:c r="D98" s="10" t="n">
        <x:v>72</x:v>
      </x:c>
      <x:c r="E98" s="10" t="n">
        <x:v>1</x:v>
      </x:c>
      <x:c r="F98" s="10" t="n">
        <x:v>163</x:v>
      </x:c>
      <x:c r="G98" s="10" t="n">
        <x:v>6.4</x:v>
      </x:c>
      <x:c r="H98" s="10" t="n">
        <x:v>0.4</x:v>
      </x:c>
      <x:c r="I98" s="10" t="n">
        <x:v>0.4479</x:v>
      </x:c>
      <x:c r="J98" s="10" t="n">
        <x:f>XLOOKUP(A98,'日期维表'!$A$2:$A$43,'日期维表'!$F$2:$F$43,0)</x:f>
        <x:v>9</x:v>
      </x:c>
      <x:c r="K98" s="10" t="str">
        <x:f>XLOOKUP(B98,'产品维表'!$A$2:$A$5,'产品维表'!$B$2:$B$5,"未映射")</x:f>
        <x:v>L1</x:v>
      </x:c>
    </x:row>
    <x:row r="99" ht="15" hidden="0" customHeight="1">
      <x:c r="A99" s="10" t="n">
        <x:v>202401</x:v>
      </x:c>
      <x:c r="B99" s="10" t="n">
        <x:v>102</x:v>
      </x:c>
      <x:c r="C99" s="10" t="n">
        <x:v>40</x:v>
      </x:c>
      <x:c r="D99" s="10" t="n">
        <x:v>39</x:v>
      </x:c>
      <x:c r="E99" s="10" t="n">
        <x:v>1</x:v>
      </x:c>
      <x:c r="F99" s="10" t="n">
        <x:v>90</x:v>
      </x:c>
      <x:c r="G99" s="10" t="n">
        <x:v>9</x:v>
      </x:c>
      <x:c r="H99" s="10" t="n">
        <x:v>2</x:v>
      </x:c>
      <x:c r="I99" s="10" t="n">
        <x:v>0.4444</x:v>
      </x:c>
      <x:c r="J99" s="10" t="n">
        <x:f>XLOOKUP(A99,'日期维表'!$A$2:$A$43,'日期维表'!$F$2:$F$43,0)</x:f>
        <x:v>9</x:v>
      </x:c>
      <x:c r="K99" s="10" t="str">
        <x:f>XLOOKUP(B99,'产品维表'!$A$2:$A$5,'产品维表'!$B$2:$B$5,"未映射")</x:f>
        <x:v>L2</x:v>
      </x:c>
    </x:row>
    <x:row r="100" ht="15" hidden="0" customHeight="1">
      <x:c r="A100" s="10" t="n">
        <x:v>202401</x:v>
      </x:c>
      <x:c r="B100" s="10" t="n">
        <x:v>201</x:v>
      </x:c>
      <x:c r="C100" s="10" t="n">
        <x:v>62</x:v>
      </x:c>
      <x:c r="D100" s="10" t="n">
        <x:v>61</x:v>
      </x:c>
      <x:c r="E100" s="10" t="n">
        <x:v>1</x:v>
      </x:c>
      <x:c r="F100" s="10" t="n">
        <x:v>139</x:v>
      </x:c>
      <x:c r="G100" s="10" t="n">
        <x:v>8.6</x:v>
      </x:c>
      <x:c r="H100" s="10" t="n">
        <x:v>1</x:v>
      </x:c>
      <x:c r="I100" s="10" t="n">
        <x:v>0.446</x:v>
      </x:c>
      <x:c r="J100" s="10" t="n">
        <x:f>XLOOKUP(A100,'日期维表'!$A$2:$A$43,'日期维表'!$F$2:$F$43,0)</x:f>
        <x:v>9</x:v>
      </x:c>
      <x:c r="K100" s="10" t="str">
        <x:f>XLOOKUP(B100,'产品维表'!$A$2:$A$5,'产品维表'!$B$2:$B$5,"未映射")</x:f>
        <x:v>H1</x:v>
      </x:c>
    </x:row>
    <x:row r="101" ht="15" hidden="0" customHeight="1">
      <x:c r="A101" s="10" t="n">
        <x:v>202401</x:v>
      </x:c>
      <x:c r="B101" s="10" t="n">
        <x:v>202</x:v>
      </x:c>
      <x:c r="C101" s="10" t="n">
        <x:v>48</x:v>
      </x:c>
      <x:c r="D101" s="10" t="n">
        <x:v>47</x:v>
      </x:c>
      <x:c r="E101" s="10" t="n">
        <x:v>1</x:v>
      </x:c>
      <x:c r="F101" s="10" t="n">
        <x:v>108</x:v>
      </x:c>
      <x:c r="G101" s="10" t="n">
        <x:v>9.3</x:v>
      </x:c>
      <x:c r="H101" s="10" t="n">
        <x:v>2.9</x:v>
      </x:c>
      <x:c r="I101" s="10" t="n">
        <x:v>0.4444</x:v>
      </x:c>
      <x:c r="J101" s="10" t="n">
        <x:f>XLOOKUP(A101,'日期维表'!$A$2:$A$43,'日期维表'!$F$2:$F$43,0)</x:f>
        <x:v>9</x:v>
      </x:c>
      <x:c r="K101" s="10" t="str">
        <x:f>XLOOKUP(B101,'产品维表'!$A$2:$A$5,'产品维表'!$B$2:$B$5,"未映射")</x:f>
        <x:v>H2</x:v>
      </x:c>
    </x:row>
    <x:row r="102" ht="15" hidden="0" customHeight="1">
      <x:c r="A102" s="10" t="n">
        <x:v>202402</x:v>
      </x:c>
      <x:c r="B102" s="10" t="n">
        <x:v>101</x:v>
      </x:c>
      <x:c r="C102" s="10" t="n">
        <x:v>28</x:v>
      </x:c>
      <x:c r="D102" s="10" t="n">
        <x:v>27</x:v>
      </x:c>
      <x:c r="E102" s="10" t="n">
        <x:v>1</x:v>
      </x:c>
      <x:c r="F102" s="10" t="n">
        <x:v>87</x:v>
      </x:c>
      <x:c r="G102" s="10" t="n">
        <x:v>7.3</x:v>
      </x:c>
      <x:c r="H102" s="10" t="n">
        <x:v>1.1</x:v>
      </x:c>
      <x:c r="I102" s="10" t="n">
        <x:v>0.3218</x:v>
      </x:c>
      <x:c r="J102" s="10" t="n">
        <x:f>XLOOKUP(A102,'日期维表'!$A$2:$A$43,'日期维表'!$F$2:$F$43,0)</x:f>
        <x:v>9</x:v>
      </x:c>
      <x:c r="K102" s="10" t="str">
        <x:f>XLOOKUP(B102,'产品维表'!$A$2:$A$5,'产品维表'!$B$2:$B$5,"未映射")</x:f>
        <x:v>L1</x:v>
      </x:c>
    </x:row>
    <x:row r="103" ht="15" hidden="0" customHeight="1">
      <x:c r="A103" s="10" t="n">
        <x:v>202402</x:v>
      </x:c>
      <x:c r="B103" s="10" t="n">
        <x:v>102</x:v>
      </x:c>
      <x:c r="C103" s="10" t="n">
        <x:v>38</x:v>
      </x:c>
      <x:c r="D103" s="10" t="n">
        <x:v>37</x:v>
      </x:c>
      <x:c r="E103" s="10" t="n">
        <x:v>1</x:v>
      </x:c>
      <x:c r="F103" s="10" t="n">
        <x:v>117</x:v>
      </x:c>
      <x:c r="G103" s="10" t="n">
        <x:v>7.9</x:v>
      </x:c>
      <x:c r="H103" s="10" t="n">
        <x:v>2.3</x:v>
      </x:c>
      <x:c r="I103" s="10" t="n">
        <x:v>0.3248</x:v>
      </x:c>
      <x:c r="J103" s="10" t="n">
        <x:f>XLOOKUP(A103,'日期维表'!$A$2:$A$43,'日期维表'!$F$2:$F$43,0)</x:f>
        <x:v>9</x:v>
      </x:c>
      <x:c r="K103" s="10" t="str">
        <x:f>XLOOKUP(B103,'产品维表'!$A$2:$A$5,'产品维表'!$B$2:$B$5,"未映射")</x:f>
        <x:v>L2</x:v>
      </x:c>
    </x:row>
    <x:row r="104" ht="15" hidden="0" customHeight="1">
      <x:c r="A104" s="10" t="n">
        <x:v>202402</x:v>
      </x:c>
      <x:c r="B104" s="10" t="n">
        <x:v>201</x:v>
      </x:c>
      <x:c r="C104" s="10" t="n">
        <x:v>45</x:v>
      </x:c>
      <x:c r="D104" s="10" t="n">
        <x:v>44</x:v>
      </x:c>
      <x:c r="E104" s="10" t="n">
        <x:v>1</x:v>
      </x:c>
      <x:c r="F104" s="10" t="n">
        <x:v>138</x:v>
      </x:c>
      <x:c r="G104" s="10" t="n">
        <x:v>5.3</x:v>
      </x:c>
      <x:c r="H104" s="10" t="n">
        <x:v>1.8</x:v>
      </x:c>
      <x:c r="I104" s="10" t="n">
        <x:v>0.3261</x:v>
      </x:c>
      <x:c r="J104" s="10" t="n">
        <x:f>XLOOKUP(A104,'日期维表'!$A$2:$A$43,'日期维表'!$F$2:$F$43,0)</x:f>
        <x:v>9</x:v>
      </x:c>
      <x:c r="K104" s="10" t="str">
        <x:f>XLOOKUP(B104,'产品维表'!$A$2:$A$5,'产品维表'!$B$2:$B$5,"未映射")</x:f>
        <x:v>H1</x:v>
      </x:c>
    </x:row>
    <x:row r="105" ht="15" hidden="0" customHeight="1">
      <x:c r="A105" s="10" t="n">
        <x:v>202402</x:v>
      </x:c>
      <x:c r="B105" s="10" t="n">
        <x:v>202</x:v>
      </x:c>
      <x:c r="C105" s="10" t="n">
        <x:v>52</x:v>
      </x:c>
      <x:c r="D105" s="10" t="n">
        <x:v>51</x:v>
      </x:c>
      <x:c r="E105" s="10" t="n">
        <x:v>1</x:v>
      </x:c>
      <x:c r="F105" s="10" t="n">
        <x:v>158</x:v>
      </x:c>
      <x:c r="G105" s="10" t="n">
        <x:v>6.2</x:v>
      </x:c>
      <x:c r="H105" s="10" t="n">
        <x:v>0.3</x:v>
      </x:c>
      <x:c r="I105" s="10" t="n">
        <x:v>0.3291</x:v>
      </x:c>
      <x:c r="J105" s="10" t="n">
        <x:f>XLOOKUP(A105,'日期维表'!$A$2:$A$43,'日期维表'!$F$2:$F$43,0)</x:f>
        <x:v>9</x:v>
      </x:c>
      <x:c r="K105" s="10" t="str">
        <x:f>XLOOKUP(B105,'产品维表'!$A$2:$A$5,'产品维表'!$B$2:$B$5,"未映射")</x:f>
        <x:v>H2</x:v>
      </x:c>
    </x:row>
    <x:row r="106" ht="15" hidden="0" customHeight="1">
      <x:c r="A106" s="10" t="n">
        <x:v>202403</x:v>
      </x:c>
      <x:c r="B106" s="10" t="n">
        <x:v>101</x:v>
      </x:c>
      <x:c r="C106" s="10" t="n">
        <x:v>70</x:v>
      </x:c>
      <x:c r="D106" s="10" t="n">
        <x:v>68</x:v>
      </x:c>
      <x:c r="E106" s="10" t="n">
        <x:v>2</x:v>
      </x:c>
      <x:c r="F106" s="10" t="n">
        <x:v>177</x:v>
      </x:c>
      <x:c r="G106" s="10" t="n">
        <x:v>2.9</x:v>
      </x:c>
      <x:c r="H106" s="10" t="n">
        <x:v>0.6</x:v>
      </x:c>
      <x:c r="I106" s="10" t="n">
        <x:v>0.3955</x:v>
      </x:c>
      <x:c r="J106" s="10" t="n">
        <x:f>XLOOKUP(A106,'日期维表'!$A$2:$A$43,'日期维表'!$F$2:$F$43,0)</x:f>
        <x:v>9</x:v>
      </x:c>
      <x:c r="K106" s="10" t="str">
        <x:f>XLOOKUP(B106,'产品维表'!$A$2:$A$5,'产品维表'!$B$2:$B$5,"未映射")</x:f>
        <x:v>L1</x:v>
      </x:c>
    </x:row>
    <x:row r="107" ht="15" hidden="0" customHeight="1">
      <x:c r="A107" s="10" t="n">
        <x:v>202403</x:v>
      </x:c>
      <x:c r="B107" s="10" t="n">
        <x:v>102</x:v>
      </x:c>
      <x:c r="C107" s="10" t="n">
        <x:v>10</x:v>
      </x:c>
      <x:c r="D107" s="10" t="n">
        <x:v>10</x:v>
      </x:c>
      <x:c r="E107" s="10" t="n">
        <x:v>0</x:v>
      </x:c>
      <x:c r="F107" s="10" t="n">
        <x:v>27</x:v>
      </x:c>
      <x:c r="G107" s="10" t="n">
        <x:v>4.8</x:v>
      </x:c>
      <x:c r="H107" s="10" t="n">
        <x:v>0.3</x:v>
      </x:c>
      <x:c r="I107" s="10" t="n">
        <x:v>0.3704</x:v>
      </x:c>
      <x:c r="J107" s="10" t="n">
        <x:f>XLOOKUP(A107,'日期维表'!$A$2:$A$43,'日期维表'!$F$2:$F$43,0)</x:f>
        <x:v>9</x:v>
      </x:c>
      <x:c r="K107" s="10" t="str">
        <x:f>XLOOKUP(B107,'产品维表'!$A$2:$A$5,'产品维表'!$B$2:$B$5,"未映射")</x:f>
        <x:v>L2</x:v>
      </x:c>
    </x:row>
    <x:row r="108" ht="15" hidden="0" customHeight="1">
      <x:c r="A108" s="10" t="n">
        <x:v>202403</x:v>
      </x:c>
      <x:c r="B108" s="10" t="n">
        <x:v>201</x:v>
      </x:c>
      <x:c r="C108" s="10" t="n">
        <x:v>62</x:v>
      </x:c>
      <x:c r="D108" s="10" t="n">
        <x:v>61</x:v>
      </x:c>
      <x:c r="E108" s="10" t="n">
        <x:v>1</x:v>
      </x:c>
      <x:c r="F108" s="10" t="n">
        <x:v>157</x:v>
      </x:c>
      <x:c r="G108" s="10" t="n">
        <x:v>6</x:v>
      </x:c>
      <x:c r="H108" s="10" t="n">
        <x:v>2.3</x:v>
      </x:c>
      <x:c r="I108" s="10" t="n">
        <x:v>0.3949</x:v>
      </x:c>
      <x:c r="J108" s="10" t="n">
        <x:f>XLOOKUP(A108,'日期维表'!$A$2:$A$43,'日期维表'!$F$2:$F$43,0)</x:f>
        <x:v>9</x:v>
      </x:c>
      <x:c r="K108" s="10" t="str">
        <x:f>XLOOKUP(B108,'产品维表'!$A$2:$A$5,'产品维表'!$B$2:$B$5,"未映射")</x:f>
        <x:v>H1</x:v>
      </x:c>
    </x:row>
    <x:row r="109" ht="15" hidden="0" customHeight="1">
      <x:c r="A109" s="10" t="n">
        <x:v>202403</x:v>
      </x:c>
      <x:c r="B109" s="10" t="n">
        <x:v>202</x:v>
      </x:c>
      <x:c r="C109" s="10" t="n">
        <x:v>55</x:v>
      </x:c>
      <x:c r="D109" s="10" t="n">
        <x:v>54</x:v>
      </x:c>
      <x:c r="E109" s="10" t="n">
        <x:v>1</x:v>
      </x:c>
      <x:c r="F109" s="10" t="n">
        <x:v>139</x:v>
      </x:c>
      <x:c r="G109" s="10" t="n">
        <x:v>9.1</x:v>
      </x:c>
      <x:c r="H109" s="10" t="n">
        <x:v>2.3</x:v>
      </x:c>
      <x:c r="I109" s="10" t="n">
        <x:v>0.3957</x:v>
      </x:c>
      <x:c r="J109" s="10" t="n">
        <x:f>XLOOKUP(A109,'日期维表'!$A$2:$A$43,'日期维表'!$F$2:$F$43,0)</x:f>
        <x:v>9</x:v>
      </x:c>
      <x:c r="K109" s="10" t="str">
        <x:f>XLOOKUP(B109,'产品维表'!$A$2:$A$5,'产品维表'!$B$2:$B$5,"未映射")</x:f>
        <x:v>H2</x:v>
      </x:c>
    </x:row>
    <x:row r="110" ht="15" hidden="0" customHeight="1">
      <x:c r="A110" s="10" t="n">
        <x:v>202404</x:v>
      </x:c>
      <x:c r="B110" s="10" t="n">
        <x:v>101</x:v>
      </x:c>
      <x:c r="C110" s="10" t="n">
        <x:v>2</x:v>
      </x:c>
      <x:c r="D110" s="10" t="n">
        <x:v>2</x:v>
      </x:c>
      <x:c r="E110" s="10" t="n">
        <x:v>0</x:v>
      </x:c>
      <x:c r="F110" s="10" t="n">
        <x:v>6</x:v>
      </x:c>
      <x:c r="G110" s="10" t="n">
        <x:v>8.2</x:v>
      </x:c>
      <x:c r="H110" s="10" t="n">
        <x:v>1.6</x:v>
      </x:c>
      <x:c r="I110" s="10" t="n">
        <x:v>0.3333</x:v>
      </x:c>
      <x:c r="J110" s="10" t="n">
        <x:f>XLOOKUP(A110,'日期维表'!$A$2:$A$43,'日期维表'!$F$2:$F$43,0)</x:f>
        <x:v>10</x:v>
      </x:c>
      <x:c r="K110" s="10" t="str">
        <x:f>XLOOKUP(B110,'产品维表'!$A$2:$A$5,'产品维表'!$B$2:$B$5,"未映射")</x:f>
        <x:v>L1</x:v>
      </x:c>
    </x:row>
    <x:row r="111" ht="15" hidden="0" customHeight="1">
      <x:c r="A111" s="10" t="n">
        <x:v>202404</x:v>
      </x:c>
      <x:c r="B111" s="10" t="n">
        <x:v>102</x:v>
      </x:c>
      <x:c r="C111" s="10" t="n">
        <x:v>0</x:v>
      </x:c>
      <x:c r="D111" s="10" t="n">
        <x:v>0</x:v>
      </x:c>
      <x:c r="E111" s="10" t="n">
        <x:v>0</x:v>
      </x:c>
      <x:c r="F111" s="10" t="n">
        <x:v>2</x:v>
      </x:c>
      <x:c r="G111" s="10" t="n">
        <x:v>2</x:v>
      </x:c>
      <x:c r="H111" s="10" t="n">
        <x:v>1.2</x:v>
      </x:c>
      <x:c r="I111" s="10" t="n">
        <x:v>0</x:v>
      </x:c>
      <x:c r="J111" s="10" t="n">
        <x:f>XLOOKUP(A111,'日期维表'!$A$2:$A$43,'日期维表'!$F$2:$F$43,0)</x:f>
        <x:v>10</x:v>
      </x:c>
      <x:c r="K111" s="10" t="str">
        <x:f>XLOOKUP(B111,'产品维表'!$A$2:$A$5,'产品维表'!$B$2:$B$5,"未映射")</x:f>
        <x:v>L2</x:v>
      </x:c>
    </x:row>
    <x:row r="112" ht="15" hidden="0" customHeight="1">
      <x:c r="A112" s="10" t="n">
        <x:v>202404</x:v>
      </x:c>
      <x:c r="B112" s="10" t="n">
        <x:v>201</x:v>
      </x:c>
      <x:c r="C112" s="10" t="n">
        <x:v>194</x:v>
      </x:c>
      <x:c r="D112" s="10" t="n">
        <x:v>190</x:v>
      </x:c>
      <x:c r="E112" s="10" t="n">
        <x:v>4</x:v>
      </x:c>
      <x:c r="F112" s="10" t="n">
        <x:v>387</x:v>
      </x:c>
      <x:c r="G112" s="10" t="n">
        <x:v>6.8</x:v>
      </x:c>
      <x:c r="H112" s="10" t="n">
        <x:v>0.4</x:v>
      </x:c>
      <x:c r="I112" s="10" t="n">
        <x:v>0.5013</x:v>
      </x:c>
      <x:c r="J112" s="10" t="n">
        <x:f>XLOOKUP(A112,'日期维表'!$A$2:$A$43,'日期维表'!$F$2:$F$43,0)</x:f>
        <x:v>10</x:v>
      </x:c>
      <x:c r="K112" s="10" t="str">
        <x:f>XLOOKUP(B112,'产品维表'!$A$2:$A$5,'产品维表'!$B$2:$B$5,"未映射")</x:f>
        <x:v>H1</x:v>
      </x:c>
    </x:row>
    <x:row r="113" ht="15" hidden="0" customHeight="1">
      <x:c r="A113" s="10" t="n">
        <x:v>202404</x:v>
      </x:c>
      <x:c r="B113" s="10" t="n">
        <x:v>202</x:v>
      </x:c>
      <x:c r="C113" s="10" t="n">
        <x:v>72</x:v>
      </x:c>
      <x:c r="D113" s="10" t="n">
        <x:v>71</x:v>
      </x:c>
      <x:c r="E113" s="10" t="n">
        <x:v>1</x:v>
      </x:c>
      <x:c r="F113" s="10" t="n">
        <x:v>145</x:v>
      </x:c>
      <x:c r="G113" s="10" t="n">
        <x:v>2.5</x:v>
      </x:c>
      <x:c r="H113" s="10" t="n">
        <x:v>2.9</x:v>
      </x:c>
      <x:c r="I113" s="10" t="n">
        <x:v>0.4966</x:v>
      </x:c>
      <x:c r="J113" s="10" t="n">
        <x:f>XLOOKUP(A113,'日期维表'!$A$2:$A$43,'日期维表'!$F$2:$F$43,0)</x:f>
        <x:v>10</x:v>
      </x:c>
      <x:c r="K113" s="10" t="str">
        <x:f>XLOOKUP(B113,'产品维表'!$A$2:$A$5,'产品维表'!$B$2:$B$5,"未映射")</x:f>
        <x:v>H2</x:v>
      </x:c>
    </x:row>
    <x:row r="114" ht="15" hidden="0" customHeight="1">
      <x:c r="A114" s="10" t="n">
        <x:v>202405</x:v>
      </x:c>
      <x:c r="B114" s="10" t="n">
        <x:v>101</x:v>
      </x:c>
      <x:c r="C114" s="10" t="n">
        <x:v>0</x:v>
      </x:c>
      <x:c r="D114" s="10" t="n">
        <x:v>0</x:v>
      </x:c>
      <x:c r="E114" s="10" t="n">
        <x:v>0</x:v>
      </x:c>
      <x:c r="F114" s="10" t="n">
        <x:v>2</x:v>
      </x:c>
      <x:c r="G114" s="10" t="n">
        <x:v>2.4</x:v>
      </x:c>
      <x:c r="H114" s="10" t="n">
        <x:v>0.8</x:v>
      </x:c>
      <x:c r="I114" s="10" t="n">
        <x:v>0</x:v>
      </x:c>
      <x:c r="J114" s="10" t="n">
        <x:f>XLOOKUP(A114,'日期维表'!$A$2:$A$43,'日期维表'!$F$2:$F$43,0)</x:f>
        <x:v>10</x:v>
      </x:c>
      <x:c r="K114" s="10" t="str">
        <x:f>XLOOKUP(B114,'产品维表'!$A$2:$A$5,'产品维表'!$B$2:$B$5,"未映射")</x:f>
        <x:v>L1</x:v>
      </x:c>
    </x:row>
    <x:row r="115" ht="15" hidden="0" customHeight="1">
      <x:c r="A115" s="10" t="n">
        <x:v>202405</x:v>
      </x:c>
      <x:c r="B115" s="10" t="n">
        <x:v>102</x:v>
      </x:c>
      <x:c r="C115" s="10" t="n">
        <x:v>0</x:v>
      </x:c>
      <x:c r="D115" s="10" t="n">
        <x:v>0</x:v>
      </x:c>
      <x:c r="E115" s="10" t="n">
        <x:v>0</x:v>
      </x:c>
      <x:c r="F115" s="10" t="n">
        <x:v>2</x:v>
      </x:c>
      <x:c r="G115" s="10" t="n">
        <x:v>9.7</x:v>
      </x:c>
      <x:c r="H115" s="10" t="n">
        <x:v>1.2</x:v>
      </x:c>
      <x:c r="I115" s="10" t="n">
        <x:v>0</x:v>
      </x:c>
      <x:c r="J115" s="10" t="n">
        <x:f>XLOOKUP(A115,'日期维表'!$A$2:$A$43,'日期维表'!$F$2:$F$43,0)</x:f>
        <x:v>10</x:v>
      </x:c>
      <x:c r="K115" s="10" t="str">
        <x:f>XLOOKUP(B115,'产品维表'!$A$2:$A$5,'产品维表'!$B$2:$B$5,"未映射")</x:f>
        <x:v>L2</x:v>
      </x:c>
    </x:row>
    <x:row r="116" ht="15" hidden="0" customHeight="1">
      <x:c r="A116" s="10" t="n">
        <x:v>202405</x:v>
      </x:c>
      <x:c r="B116" s="10" t="n">
        <x:v>201</x:v>
      </x:c>
      <x:c r="C116" s="10" t="n">
        <x:v>275</x:v>
      </x:c>
      <x:c r="D116" s="10" t="n">
        <x:v>271</x:v>
      </x:c>
      <x:c r="E116" s="10" t="n">
        <x:v>4</x:v>
      </x:c>
      <x:c r="F116" s="10" t="n">
        <x:v>457</x:v>
      </x:c>
      <x:c r="G116" s="10" t="n">
        <x:v>4.2</x:v>
      </x:c>
      <x:c r="H116" s="10" t="n">
        <x:v>1.1</x:v>
      </x:c>
      <x:c r="I116" s="10" t="n">
        <x:v>0.6018</x:v>
      </x:c>
      <x:c r="J116" s="10" t="n">
        <x:f>XLOOKUP(A116,'日期维表'!$A$2:$A$43,'日期维表'!$F$2:$F$43,0)</x:f>
        <x:v>10</x:v>
      </x:c>
      <x:c r="K116" s="10" t="str">
        <x:f>XLOOKUP(B116,'产品维表'!$A$2:$A$5,'产品维表'!$B$2:$B$5,"未映射")</x:f>
        <x:v>H1</x:v>
      </x:c>
    </x:row>
    <x:row r="117" ht="15" hidden="0" customHeight="1">
      <x:c r="A117" s="10" t="n">
        <x:v>202405</x:v>
      </x:c>
      <x:c r="B117" s="10" t="n">
        <x:v>202</x:v>
      </x:c>
      <x:c r="C117" s="10" t="n">
        <x:v>47</x:v>
      </x:c>
      <x:c r="D117" s="10" t="n">
        <x:v>46</x:v>
      </x:c>
      <x:c r="E117" s="10" t="n">
        <x:v>1</x:v>
      </x:c>
      <x:c r="F117" s="10" t="n">
        <x:v>79</x:v>
      </x:c>
      <x:c r="G117" s="10" t="n">
        <x:v>6.8</x:v>
      </x:c>
      <x:c r="H117" s="10" t="n">
        <x:v>2.7</x:v>
      </x:c>
      <x:c r="I117" s="10" t="n">
        <x:v>0.5949</x:v>
      </x:c>
      <x:c r="J117" s="10" t="n">
        <x:f>XLOOKUP(A117,'日期维表'!$A$2:$A$43,'日期维表'!$F$2:$F$43,0)</x:f>
        <x:v>10</x:v>
      </x:c>
      <x:c r="K117" s="10" t="str">
        <x:f>XLOOKUP(B117,'产品维表'!$A$2:$A$5,'产品维表'!$B$2:$B$5,"未映射")</x:f>
        <x:v>H2</x:v>
      </x:c>
    </x:row>
    <x:row r="118" ht="15" hidden="0" customHeight="1">
      <x:c r="A118" s="10" t="n">
        <x:v>202406</x:v>
      </x:c>
      <x:c r="B118" s="10" t="n">
        <x:v>101</x:v>
      </x:c>
      <x:c r="C118" s="10" t="n">
        <x:v>0</x:v>
      </x:c>
      <x:c r="D118" s="10" t="n">
        <x:v>0</x:v>
      </x:c>
      <x:c r="E118" s="10" t="n">
        <x:v>0</x:v>
      </x:c>
      <x:c r="F118" s="10" t="n">
        <x:v>2</x:v>
      </x:c>
      <x:c r="G118" s="10" t="n">
        <x:v>7.1</x:v>
      </x:c>
      <x:c r="H118" s="10" t="n">
        <x:v>2.9</x:v>
      </x:c>
      <x:c r="I118" s="10" t="n">
        <x:v>0</x:v>
      </x:c>
      <x:c r="J118" s="10" t="n">
        <x:f>XLOOKUP(A118,'日期维表'!$A$2:$A$43,'日期维表'!$F$2:$F$43,0)</x:f>
        <x:v>10</x:v>
      </x:c>
      <x:c r="K118" s="10" t="str">
        <x:f>XLOOKUP(B118,'产品维表'!$A$2:$A$5,'产品维表'!$B$2:$B$5,"未映射")</x:f>
        <x:v>L1</x:v>
      </x:c>
    </x:row>
    <x:row r="119" ht="15" hidden="0" customHeight="1">
      <x:c r="A119" s="10" t="n">
        <x:v>202406</x:v>
      </x:c>
      <x:c r="B119" s="10" t="n">
        <x:v>102</x:v>
      </x:c>
      <x:c r="C119" s="10" t="n">
        <x:v>0</x:v>
      </x:c>
      <x:c r="D119" s="10" t="n">
        <x:v>0</x:v>
      </x:c>
      <x:c r="E119" s="10" t="n">
        <x:v>0</x:v>
      </x:c>
      <x:c r="F119" s="10" t="n">
        <x:v>1</x:v>
      </x:c>
      <x:c r="G119" s="10" t="n">
        <x:v>6.8</x:v>
      </x:c>
      <x:c r="H119" s="10" t="n">
        <x:v>2.8</x:v>
      </x:c>
      <x:c r="I119" s="10" t="n">
        <x:v>0</x:v>
      </x:c>
      <x:c r="J119" s="10" t="n">
        <x:f>XLOOKUP(A119,'日期维表'!$A$2:$A$43,'日期维表'!$F$2:$F$43,0)</x:f>
        <x:v>10</x:v>
      </x:c>
      <x:c r="K119" s="10" t="str">
        <x:f>XLOOKUP(B119,'产品维表'!$A$2:$A$5,'产品维表'!$B$2:$B$5,"未映射")</x:f>
        <x:v>L2</x:v>
      </x:c>
    </x:row>
    <x:row r="120" ht="15" hidden="0" customHeight="1">
      <x:c r="A120" s="10" t="n">
        <x:v>202406</x:v>
      </x:c>
      <x:c r="B120" s="10" t="n">
        <x:v>201</x:v>
      </x:c>
      <x:c r="C120" s="10" t="n">
        <x:v>315</x:v>
      </x:c>
      <x:c r="D120" s="10" t="n">
        <x:v>310</x:v>
      </x:c>
      <x:c r="E120" s="10" t="n">
        <x:v>5</x:v>
      </x:c>
      <x:c r="F120" s="10" t="n">
        <x:v>418</x:v>
      </x:c>
      <x:c r="G120" s="10" t="n">
        <x:v>2.3</x:v>
      </x:c>
      <x:c r="H120" s="10" t="n">
        <x:v>0.7</x:v>
      </x:c>
      <x:c r="I120" s="10" t="n">
        <x:v>0.7536</x:v>
      </x:c>
      <x:c r="J120" s="10" t="n">
        <x:f>XLOOKUP(A120,'日期维表'!$A$2:$A$43,'日期维表'!$F$2:$F$43,0)</x:f>
        <x:v>10</x:v>
      </x:c>
      <x:c r="K120" s="10" t="str">
        <x:f>XLOOKUP(B120,'产品维表'!$A$2:$A$5,'产品维表'!$B$2:$B$5,"未映射")</x:f>
        <x:v>H1</x:v>
      </x:c>
    </x:row>
    <x:row r="121" ht="15" hidden="0" customHeight="1">
      <x:c r="A121" s="10" t="n">
        <x:v>202406</x:v>
      </x:c>
      <x:c r="B121" s="10" t="n">
        <x:v>202</x:v>
      </x:c>
      <x:c r="C121" s="10" t="n">
        <x:v>89</x:v>
      </x:c>
      <x:c r="D121" s="10" t="n">
        <x:v>87</x:v>
      </x:c>
      <x:c r="E121" s="10" t="n">
        <x:v>2</x:v>
      </x:c>
      <x:c r="F121" s="10" t="n">
        <x:v>119</x:v>
      </x:c>
      <x:c r="G121" s="10" t="n">
        <x:v>6.4</x:v>
      </x:c>
      <x:c r="H121" s="10" t="n">
        <x:v>0.2</x:v>
      </x:c>
      <x:c r="I121" s="10" t="n">
        <x:v>0.7479</x:v>
      </x:c>
      <x:c r="J121" s="10" t="n">
        <x:f>XLOOKUP(A121,'日期维表'!$A$2:$A$43,'日期维表'!$F$2:$F$43,0)</x:f>
        <x:v>10</x:v>
      </x:c>
      <x:c r="K121" s="10" t="str">
        <x:f>XLOOKUP(B121,'产品维表'!$A$2:$A$5,'产品维表'!$B$2:$B$5,"未映射")</x:f>
        <x:v>H2</x:v>
      </x:c>
    </x:row>
    <x:row r="122" ht="15" hidden="0" customHeight="1">
      <x:c r="A122" s="10" t="n">
        <x:v>202407</x:v>
      </x:c>
      <x:c r="B122" s="10" t="n">
        <x:v>101</x:v>
      </x:c>
      <x:c r="C122" s="10" t="n">
        <x:v>269</x:v>
      </x:c>
      <x:c r="D122" s="10" t="n">
        <x:v>263</x:v>
      </x:c>
      <x:c r="E122" s="10" t="n">
        <x:v>6</x:v>
      </x:c>
      <x:c r="F122" s="10" t="n">
        <x:v>343</x:v>
      </x:c>
      <x:c r="G122" s="10" t="n">
        <x:v>8.8</x:v>
      </x:c>
      <x:c r="H122" s="10" t="n">
        <x:v>0.6</x:v>
      </x:c>
      <x:c r="I122" s="10" t="n">
        <x:v>0.7843</x:v>
      </x:c>
      <x:c r="J122" s="10" t="n">
        <x:f>XLOOKUP(A122,'日期维表'!$A$2:$A$43,'日期维表'!$F$2:$F$43,0)</x:f>
        <x:v>11</x:v>
      </x:c>
      <x:c r="K122" s="10" t="str">
        <x:f>XLOOKUP(B122,'产品维表'!$A$2:$A$5,'产品维表'!$B$2:$B$5,"未映射")</x:f>
        <x:v>L1</x:v>
      </x:c>
    </x:row>
    <x:row r="123" ht="15" hidden="0" customHeight="1">
      <x:c r="A123" s="10" t="n">
        <x:v>202407</x:v>
      </x:c>
      <x:c r="B123" s="10" t="n">
        <x:v>102</x:v>
      </x:c>
      <x:c r="C123" s="10" t="n">
        <x:v>231</x:v>
      </x:c>
      <x:c r="D123" s="10" t="n">
        <x:v>227</x:v>
      </x:c>
      <x:c r="E123" s="10" t="n">
        <x:v>4</x:v>
      </x:c>
      <x:c r="F123" s="10" t="n">
        <x:v>295</x:v>
      </x:c>
      <x:c r="G123" s="10" t="n">
        <x:v>7.5</x:v>
      </x:c>
      <x:c r="H123" s="10" t="n">
        <x:v>0.2</x:v>
      </x:c>
      <x:c r="I123" s="10" t="n">
        <x:v>0.7831</x:v>
      </x:c>
      <x:c r="J123" s="10" t="n">
        <x:f>XLOOKUP(A123,'日期维表'!$A$2:$A$43,'日期维表'!$F$2:$F$43,0)</x:f>
        <x:v>11</x:v>
      </x:c>
      <x:c r="K123" s="10" t="str">
        <x:f>XLOOKUP(B123,'产品维表'!$A$2:$A$5,'产品维表'!$B$2:$B$5,"未映射")</x:f>
        <x:v>L2</x:v>
      </x:c>
    </x:row>
    <x:row r="124" ht="15" hidden="0" customHeight="1">
      <x:c r="A124" s="10" t="n">
        <x:v>202407</x:v>
      </x:c>
      <x:c r="B124" s="10" t="n">
        <x:v>201</x:v>
      </x:c>
      <x:c r="C124" s="10" t="n">
        <x:v>25</x:v>
      </x:c>
      <x:c r="D124" s="10" t="n">
        <x:v>25</x:v>
      </x:c>
      <x:c r="E124" s="10" t="n">
        <x:v>0</x:v>
      </x:c>
      <x:c r="F124" s="10" t="n">
        <x:v>33</x:v>
      </x:c>
      <x:c r="G124" s="10" t="n">
        <x:v>6.5</x:v>
      </x:c>
      <x:c r="H124" s="10" t="n">
        <x:v>0</x:v>
      </x:c>
      <x:c r="I124" s="10" t="n">
        <x:v>0.7576</x:v>
      </x:c>
      <x:c r="J124" s="10" t="n">
        <x:f>XLOOKUP(A124,'日期维表'!$A$2:$A$43,'日期维表'!$F$2:$F$43,0)</x:f>
        <x:v>11</x:v>
      </x:c>
      <x:c r="K124" s="10" t="str">
        <x:f>XLOOKUP(B124,'产品维表'!$A$2:$A$5,'产品维表'!$B$2:$B$5,"未映射")</x:f>
        <x:v>H1</x:v>
      </x:c>
    </x:row>
    <x:row r="125" ht="15" hidden="0" customHeight="1">
      <x:c r="A125" s="10" t="n">
        <x:v>202407</x:v>
      </x:c>
      <x:c r="B125" s="10" t="n">
        <x:v>202</x:v>
      </x:c>
      <x:c r="C125" s="10" t="n">
        <x:v>22</x:v>
      </x:c>
      <x:c r="D125" s="10" t="n">
        <x:v>22</x:v>
      </x:c>
      <x:c r="E125" s="10" t="n">
        <x:v>0</x:v>
      </x:c>
      <x:c r="F125" s="10" t="n">
        <x:v>29</x:v>
      </x:c>
      <x:c r="G125" s="10" t="n">
        <x:v>4.4</x:v>
      </x:c>
      <x:c r="H125" s="10" t="n">
        <x:v>2.6</x:v>
      </x:c>
      <x:c r="I125" s="10" t="n">
        <x:v>0.7586</x:v>
      </x:c>
      <x:c r="J125" s="10" t="n">
        <x:f>XLOOKUP(A125,'日期维表'!$A$2:$A$43,'日期维表'!$F$2:$F$43,0)</x:f>
        <x:v>11</x:v>
      </x:c>
      <x:c r="K125" s="10" t="str">
        <x:f>XLOOKUP(B125,'产品维表'!$A$2:$A$5,'产品维表'!$B$2:$B$5,"未映射")</x:f>
        <x:v>H2</x:v>
      </x:c>
    </x:row>
    <x:row r="126" ht="15" hidden="0" customHeight="1">
      <x:c r="A126" s="10" t="n">
        <x:v>202408</x:v>
      </x:c>
      <x:c r="B126" s="10" t="n">
        <x:v>101</x:v>
      </x:c>
      <x:c r="C126" s="10" t="n">
        <x:v>270</x:v>
      </x:c>
      <x:c r="D126" s="10" t="n">
        <x:v>266</x:v>
      </x:c>
      <x:c r="E126" s="10" t="n">
        <x:v>4</x:v>
      </x:c>
      <x:c r="F126" s="10" t="n">
        <x:v>370</x:v>
      </x:c>
      <x:c r="G126" s="10" t="n">
        <x:v>7.6</x:v>
      </x:c>
      <x:c r="H126" s="10" t="n">
        <x:v>1.2</x:v>
      </x:c>
      <x:c r="I126" s="10" t="n">
        <x:v>0.7297</x:v>
      </x:c>
      <x:c r="J126" s="10" t="n">
        <x:f>XLOOKUP(A126,'日期维表'!$A$2:$A$43,'日期维表'!$F$2:$F$43,0)</x:f>
        <x:v>11</x:v>
      </x:c>
      <x:c r="K126" s="10" t="str">
        <x:f>XLOOKUP(B126,'产品维表'!$A$2:$A$5,'产品维表'!$B$2:$B$5,"未映射")</x:f>
        <x:v>L1</x:v>
      </x:c>
    </x:row>
    <x:row r="127" ht="15" hidden="0" customHeight="1">
      <x:c r="A127" s="10" t="n">
        <x:v>202408</x:v>
      </x:c>
      <x:c r="B127" s="10" t="n">
        <x:v>102</x:v>
      </x:c>
      <x:c r="C127" s="10" t="n">
        <x:v>239</x:v>
      </x:c>
      <x:c r="D127" s="10" t="n">
        <x:v>236</x:v>
      </x:c>
      <x:c r="E127" s="10" t="n">
        <x:v>3</x:v>
      </x:c>
      <x:c r="F127" s="10" t="n">
        <x:v>328</x:v>
      </x:c>
      <x:c r="G127" s="10" t="n">
        <x:v>2.7</x:v>
      </x:c>
      <x:c r="H127" s="10" t="n">
        <x:v>0.3</x:v>
      </x:c>
      <x:c r="I127" s="10" t="n">
        <x:v>0.7287</x:v>
      </x:c>
      <x:c r="J127" s="10" t="n">
        <x:f>XLOOKUP(A127,'日期维表'!$A$2:$A$43,'日期维表'!$F$2:$F$43,0)</x:f>
        <x:v>11</x:v>
      </x:c>
      <x:c r="K127" s="10" t="str">
        <x:f>XLOOKUP(B127,'产品维表'!$A$2:$A$5,'产品维表'!$B$2:$B$5,"未映射")</x:f>
        <x:v>L2</x:v>
      </x:c>
    </x:row>
    <x:row r="128" ht="15" hidden="0" customHeight="1">
      <x:c r="A128" s="10" t="n">
        <x:v>202408</x:v>
      </x:c>
      <x:c r="B128" s="10" t="n">
        <x:v>201</x:v>
      </x:c>
      <x:c r="C128" s="10" t="n">
        <x:v>0</x:v>
      </x:c>
      <x:c r="D128" s="10" t="n">
        <x:v>0</x:v>
      </x:c>
      <x:c r="E128" s="10" t="n">
        <x:v>0</x:v>
      </x:c>
      <x:c r="F128" s="10" t="n">
        <x:v>1</x:v>
      </x:c>
      <x:c r="G128" s="10" t="n">
        <x:v>9.4</x:v>
      </x:c>
      <x:c r="H128" s="10" t="n">
        <x:v>2.3</x:v>
      </x:c>
      <x:c r="I128" s="10" t="n">
        <x:v>0</x:v>
      </x:c>
      <x:c r="J128" s="10" t="n">
        <x:f>XLOOKUP(A128,'日期维表'!$A$2:$A$43,'日期维表'!$F$2:$F$43,0)</x:f>
        <x:v>11</x:v>
      </x:c>
      <x:c r="K128" s="10" t="str">
        <x:f>XLOOKUP(B128,'产品维表'!$A$2:$A$5,'产品维表'!$B$2:$B$5,"未映射")</x:f>
        <x:v>H1</x:v>
      </x:c>
    </x:row>
    <x:row r="129" ht="15" hidden="0" customHeight="1">
      <x:c r="A129" s="10" t="n">
        <x:v>202408</x:v>
      </x:c>
      <x:c r="B129" s="10" t="n">
        <x:v>202</x:v>
      </x:c>
      <x:c r="C129" s="10" t="n">
        <x:v>0</x:v>
      </x:c>
      <x:c r="D129" s="10" t="n">
        <x:v>0</x:v>
      </x:c>
      <x:c r="E129" s="10" t="n">
        <x:v>0</x:v>
      </x:c>
      <x:c r="F129" s="10" t="n">
        <x:v>1</x:v>
      </x:c>
      <x:c r="G129" s="10" t="n">
        <x:v>8.6</x:v>
      </x:c>
      <x:c r="H129" s="10" t="n">
        <x:v>0.1</x:v>
      </x:c>
      <x:c r="I129" s="10" t="n">
        <x:v>0</x:v>
      </x:c>
      <x:c r="J129" s="10" t="n">
        <x:f>XLOOKUP(A129,'日期维表'!$A$2:$A$43,'日期维表'!$F$2:$F$43,0)</x:f>
        <x:v>11</x:v>
      </x:c>
      <x:c r="K129" s="10" t="str">
        <x:f>XLOOKUP(B129,'产品维表'!$A$2:$A$5,'产品维表'!$B$2:$B$5,"未映射")</x:f>
        <x:v>H2</x:v>
      </x:c>
    </x:row>
    <x:row r="130" ht="15" hidden="0" customHeight="1">
      <x:c r="A130" s="10" t="n">
        <x:v>202409</x:v>
      </x:c>
      <x:c r="B130" s="10" t="n">
        <x:v>101</x:v>
      </x:c>
      <x:c r="C130" s="10" t="n">
        <x:v>442</x:v>
      </x:c>
      <x:c r="D130" s="10" t="n">
        <x:v>437</x:v>
      </x:c>
      <x:c r="E130" s="10" t="n">
        <x:v>5</x:v>
      </x:c>
      <x:c r="F130" s="10" t="n">
        <x:v>509</x:v>
      </x:c>
      <x:c r="G130" s="10" t="n">
        <x:v>5.9</x:v>
      </x:c>
      <x:c r="H130" s="10" t="n">
        <x:v>10.5</x:v>
      </x:c>
      <x:c r="I130" s="10" t="n">
        <x:v>0.8684</x:v>
      </x:c>
      <x:c r="J130" s="10" t="n">
        <x:f>XLOOKUP(A130,'日期维表'!$A$2:$A$43,'日期维表'!$F$2:$F$43,0)</x:f>
        <x:v>11</x:v>
      </x:c>
      <x:c r="K130" s="10" t="str">
        <x:f>XLOOKUP(B130,'产品维表'!$A$2:$A$5,'产品维表'!$B$2:$B$5,"未映射")</x:f>
        <x:v>L1</x:v>
      </x:c>
    </x:row>
    <x:row r="131" ht="15" hidden="0" customHeight="1">
      <x:c r="A131" s="10" t="n">
        <x:v>202409</x:v>
      </x:c>
      <x:c r="B131" s="10" t="n">
        <x:v>102</x:v>
      </x:c>
      <x:c r="C131" s="10" t="n">
        <x:v>164</x:v>
      </x:c>
      <x:c r="D131" s="10" t="n">
        <x:v>162</x:v>
      </x:c>
      <x:c r="E131" s="10" t="n">
        <x:v>2</x:v>
      </x:c>
      <x:c r="F131" s="10" t="n">
        <x:v>189</x:v>
      </x:c>
      <x:c r="G131" s="10" t="n">
        <x:v>7.5</x:v>
      </x:c>
      <x:c r="H131" s="10" t="n">
        <x:v>8.1</x:v>
      </x:c>
      <x:c r="I131" s="10" t="n">
        <x:v>0.8677</x:v>
      </x:c>
      <x:c r="J131" s="10" t="n">
        <x:f>XLOOKUP(A131,'日期维表'!$A$2:$A$43,'日期维表'!$F$2:$F$43,0)</x:f>
        <x:v>11</x:v>
      </x:c>
      <x:c r="K131" s="10" t="str">
        <x:f>XLOOKUP(B131,'产品维表'!$A$2:$A$5,'产品维表'!$B$2:$B$5,"未映射")</x:f>
        <x:v>L2</x:v>
      </x:c>
    </x:row>
    <x:row r="132" ht="15" hidden="0" customHeight="1">
      <x:c r="A132" s="10" t="n">
        <x:v>202409</x:v>
      </x:c>
      <x:c r="B132" s="10" t="n">
        <x:v>201</x:v>
      </x:c>
      <x:c r="C132" s="10" t="n">
        <x:v>0</x:v>
      </x:c>
      <x:c r="D132" s="10" t="n">
        <x:v>0</x:v>
      </x:c>
      <x:c r="E132" s="10" t="n">
        <x:v>0</x:v>
      </x:c>
      <x:c r="F132" s="10" t="n">
        <x:v>1</x:v>
      </x:c>
      <x:c r="G132" s="10" t="n">
        <x:v>4.9</x:v>
      </x:c>
      <x:c r="H132" s="10" t="n">
        <x:v>2</x:v>
      </x:c>
      <x:c r="I132" s="10" t="n">
        <x:v>0</x:v>
      </x:c>
      <x:c r="J132" s="10" t="n">
        <x:f>XLOOKUP(A132,'日期维表'!$A$2:$A$43,'日期维表'!$F$2:$F$43,0)</x:f>
        <x:v>11</x:v>
      </x:c>
      <x:c r="K132" s="10" t="str">
        <x:f>XLOOKUP(B132,'产品维表'!$A$2:$A$5,'产品维表'!$B$2:$B$5,"未映射")</x:f>
        <x:v>H1</x:v>
      </x:c>
    </x:row>
    <x:row r="133" ht="15" hidden="0" customHeight="1">
      <x:c r="A133" s="10" t="n">
        <x:v>202409</x:v>
      </x:c>
      <x:c r="B133" s="10" t="n">
        <x:v>202</x:v>
      </x:c>
      <x:c r="C133" s="10" t="n">
        <x:v>0</x:v>
      </x:c>
      <x:c r="D133" s="10" t="n">
        <x:v>0</x:v>
      </x:c>
      <x:c r="E133" s="10" t="n">
        <x:v>0</x:v>
      </x:c>
      <x:c r="F133" s="10" t="n">
        <x:v>1</x:v>
      </x:c>
      <x:c r="G133" s="10" t="n">
        <x:v>1.7</x:v>
      </x:c>
      <x:c r="H133" s="10" t="n">
        <x:v>0.4</x:v>
      </x:c>
      <x:c r="I133" s="10" t="n">
        <x:v>0</x:v>
      </x:c>
      <x:c r="J133" s="10" t="n">
        <x:f>XLOOKUP(A133,'日期维表'!$A$2:$A$43,'日期维表'!$F$2:$F$43,0)</x:f>
        <x:v>11</x:v>
      </x:c>
      <x:c r="K133" s="10" t="str">
        <x:f>XLOOKUP(B133,'产品维表'!$A$2:$A$5,'产品维表'!$B$2:$B$5,"未映射")</x:f>
        <x:v>H2</x:v>
      </x:c>
    </x:row>
    <x:row r="134" ht="15" hidden="0" customHeight="1">
      <x:c r="A134" s="10" t="n">
        <x:v>202410</x:v>
      </x:c>
      <x:c r="B134" s="10" t="n">
        <x:v>101</x:v>
      </x:c>
      <x:c r="C134" s="10" t="n">
        <x:v>236</x:v>
      </x:c>
      <x:c r="D134" s="10" t="n">
        <x:v>232</x:v>
      </x:c>
      <x:c r="E134" s="10" t="n">
        <x:v>4</x:v>
      </x:c>
      <x:c r="F134" s="10" t="n">
        <x:v>455</x:v>
      </x:c>
      <x:c r="G134" s="10" t="n">
        <x:v>5.2</x:v>
      </x:c>
      <x:c r="H134" s="10" t="n">
        <x:v>0.2</x:v>
      </x:c>
      <x:c r="I134" s="10" t="n">
        <x:v>0.5187</x:v>
      </x:c>
      <x:c r="J134" s="10" t="n">
        <x:f>XLOOKUP(A134,'日期维表'!$A$2:$A$43,'日期维表'!$F$2:$F$43,0)</x:f>
        <x:v>12</x:v>
      </x:c>
      <x:c r="K134" s="10" t="str">
        <x:f>XLOOKUP(B134,'产品维表'!$A$2:$A$5,'产品维表'!$B$2:$B$5,"未映射")</x:f>
        <x:v>L1</x:v>
      </x:c>
    </x:row>
    <x:row r="135" ht="15" hidden="0" customHeight="1">
      <x:c r="A135" s="10" t="n">
        <x:v>202410</x:v>
      </x:c>
      <x:c r="B135" s="10" t="n">
        <x:v>102</x:v>
      </x:c>
      <x:c r="C135" s="10" t="n">
        <x:v>156</x:v>
      </x:c>
      <x:c r="D135" s="10" t="n">
        <x:v>152</x:v>
      </x:c>
      <x:c r="E135" s="10" t="n">
        <x:v>4</x:v>
      </x:c>
      <x:c r="F135" s="10" t="n">
        <x:v>301</x:v>
      </x:c>
      <x:c r="G135" s="10" t="n">
        <x:v>6.8</x:v>
      </x:c>
      <x:c r="H135" s="10" t="n">
        <x:v>1.8</x:v>
      </x:c>
      <x:c r="I135" s="10" t="n">
        <x:v>0.5183</x:v>
      </x:c>
      <x:c r="J135" s="10" t="n">
        <x:f>XLOOKUP(A135,'日期维表'!$A$2:$A$43,'日期维表'!$F$2:$F$43,0)</x:f>
        <x:v>12</x:v>
      </x:c>
      <x:c r="K135" s="10" t="str">
        <x:f>XLOOKUP(B135,'产品维表'!$A$2:$A$5,'产品维表'!$B$2:$B$5,"未映射")</x:f>
        <x:v>L2</x:v>
      </x:c>
    </x:row>
    <x:row r="136" ht="15" hidden="0" customHeight="1">
      <x:c r="A136" s="10" t="n">
        <x:v>202410</x:v>
      </x:c>
      <x:c r="B136" s="10" t="n">
        <x:v>201</x:v>
      </x:c>
      <x:c r="C136" s="10" t="n">
        <x:v>0</x:v>
      </x:c>
      <x:c r="D136" s="10" t="n">
        <x:v>0</x:v>
      </x:c>
      <x:c r="E136" s="10" t="n">
        <x:v>0</x:v>
      </x:c>
      <x:c r="F136" s="10" t="n">
        <x:v>2</x:v>
      </x:c>
      <x:c r="G136" s="10" t="n">
        <x:v>3</x:v>
      </x:c>
      <x:c r="H136" s="10" t="n">
        <x:v>1.5</x:v>
      </x:c>
      <x:c r="I136" s="10" t="n">
        <x:v>0</x:v>
      </x:c>
      <x:c r="J136" s="10" t="n">
        <x:f>XLOOKUP(A136,'日期维表'!$A$2:$A$43,'日期维表'!$F$2:$F$43,0)</x:f>
        <x:v>12</x:v>
      </x:c>
      <x:c r="K136" s="10" t="str">
        <x:f>XLOOKUP(B136,'产品维表'!$A$2:$A$5,'产品维表'!$B$2:$B$5,"未映射")</x:f>
        <x:v>H1</x:v>
      </x:c>
    </x:row>
    <x:row r="137" ht="15" hidden="0" customHeight="1">
      <x:c r="A137" s="10" t="n">
        <x:v>202410</x:v>
      </x:c>
      <x:c r="B137" s="10" t="n">
        <x:v>202</x:v>
      </x:c>
      <x:c r="C137" s="10" t="n">
        <x:v>0</x:v>
      </x:c>
      <x:c r="D137" s="10" t="n">
        <x:v>0</x:v>
      </x:c>
      <x:c r="E137" s="10" t="n">
        <x:v>0</x:v>
      </x:c>
      <x:c r="F137" s="10" t="n">
        <x:v>2</x:v>
      </x:c>
      <x:c r="G137" s="10" t="n">
        <x:v>2</x:v>
      </x:c>
      <x:c r="H137" s="10" t="n">
        <x:v>2.1</x:v>
      </x:c>
      <x:c r="I137" s="10" t="n">
        <x:v>0</x:v>
      </x:c>
      <x:c r="J137" s="10" t="n">
        <x:f>XLOOKUP(A137,'日期维表'!$A$2:$A$43,'日期维表'!$F$2:$F$43,0)</x:f>
        <x:v>12</x:v>
      </x:c>
      <x:c r="K137" s="10" t="str">
        <x:f>XLOOKUP(B137,'产品维表'!$A$2:$A$5,'产品维表'!$B$2:$B$5,"未映射")</x:f>
        <x:v>H2</x:v>
      </x:c>
    </x:row>
    <x:row r="138" ht="15" hidden="0" customHeight="1">
      <x:c r="A138" s="10" t="n">
        <x:v>202411</x:v>
      </x:c>
      <x:c r="B138" s="10" t="n">
        <x:v>101</x:v>
      </x:c>
      <x:c r="C138" s="10" t="n">
        <x:v>284</x:v>
      </x:c>
      <x:c r="D138" s="10" t="n">
        <x:v>278</x:v>
      </x:c>
      <x:c r="E138" s="10" t="n">
        <x:v>6</x:v>
      </x:c>
      <x:c r="F138" s="10" t="n">
        <x:v>508</x:v>
      </x:c>
      <x:c r="G138" s="10" t="n">
        <x:v>7.2</x:v>
      </x:c>
      <x:c r="H138" s="10" t="n">
        <x:v>1.3</x:v>
      </x:c>
      <x:c r="I138" s="10" t="n">
        <x:v>0.5591</x:v>
      </x:c>
      <x:c r="J138" s="10" t="n">
        <x:f>XLOOKUP(A138,'日期维表'!$A$2:$A$43,'日期维表'!$F$2:$F$43,0)</x:f>
        <x:v>12</x:v>
      </x:c>
      <x:c r="K138" s="10" t="str">
        <x:f>XLOOKUP(B138,'产品维表'!$A$2:$A$5,'产品维表'!$B$2:$B$5,"未映射")</x:f>
        <x:v>L1</x:v>
      </x:c>
    </x:row>
    <x:row r="139" ht="15" hidden="0" customHeight="1">
      <x:c r="A139" s="10" t="n">
        <x:v>202411</x:v>
      </x:c>
      <x:c r="B139" s="10" t="n">
        <x:v>102</x:v>
      </x:c>
      <x:c r="C139" s="10" t="n">
        <x:v>138</x:v>
      </x:c>
      <x:c r="D139" s="10" t="n">
        <x:v>135</x:v>
      </x:c>
      <x:c r="E139" s="10" t="n">
        <x:v>3</x:v>
      </x:c>
      <x:c r="F139" s="10" t="n">
        <x:v>248</x:v>
      </x:c>
      <x:c r="G139" s="10" t="n">
        <x:v>5.6</x:v>
      </x:c>
      <x:c r="H139" s="10" t="n">
        <x:v>0.8</x:v>
      </x:c>
      <x:c r="I139" s="10" t="n">
        <x:v>0.5565</x:v>
      </x:c>
      <x:c r="J139" s="10" t="n">
        <x:f>XLOOKUP(A139,'日期维表'!$A$2:$A$43,'日期维表'!$F$2:$F$43,0)</x:f>
        <x:v>12</x:v>
      </x:c>
      <x:c r="K139" s="10" t="str">
        <x:f>XLOOKUP(B139,'产品维表'!$A$2:$A$5,'产品维表'!$B$2:$B$5,"未映射")</x:f>
        <x:v>L2</x:v>
      </x:c>
    </x:row>
    <x:row r="140" ht="15" hidden="0" customHeight="1">
      <x:c r="A140" s="10" t="n">
        <x:v>202411</x:v>
      </x:c>
      <x:c r="B140" s="10" t="n">
        <x:v>201</x:v>
      </x:c>
      <x:c r="C140" s="10" t="n">
        <x:v>0</x:v>
      </x:c>
      <x:c r="D140" s="10" t="n">
        <x:v>0</x:v>
      </x:c>
      <x:c r="E140" s="10" t="n">
        <x:v>0</x:v>
      </x:c>
      <x:c r="F140" s="10" t="n">
        <x:v>2</x:v>
      </x:c>
      <x:c r="G140" s="10" t="n">
        <x:v>4.8</x:v>
      </x:c>
      <x:c r="H140" s="10" t="n">
        <x:v>1.3</x:v>
      </x:c>
      <x:c r="I140" s="10" t="n">
        <x:v>0</x:v>
      </x:c>
      <x:c r="J140" s="10" t="n">
        <x:f>XLOOKUP(A140,'日期维表'!$A$2:$A$43,'日期维表'!$F$2:$F$43,0)</x:f>
        <x:v>12</x:v>
      </x:c>
      <x:c r="K140" s="10" t="str">
        <x:f>XLOOKUP(B140,'产品维表'!$A$2:$A$5,'产品维表'!$B$2:$B$5,"未映射")</x:f>
        <x:v>H1</x:v>
      </x:c>
    </x:row>
    <x:row r="141" ht="15" hidden="0" customHeight="1">
      <x:c r="A141" s="10" t="n">
        <x:v>202411</x:v>
      </x:c>
      <x:c r="B141" s="10" t="n">
        <x:v>202</x:v>
      </x:c>
      <x:c r="C141" s="10" t="n">
        <x:v>0</x:v>
      </x:c>
      <x:c r="D141" s="10" t="n">
        <x:v>0</x:v>
      </x:c>
      <x:c r="E141" s="10" t="n">
        <x:v>0</x:v>
      </x:c>
      <x:c r="F141" s="10" t="n">
        <x:v>2</x:v>
      </x:c>
      <x:c r="G141" s="10" t="n">
        <x:v>7.7</x:v>
      </x:c>
      <x:c r="H141" s="10" t="n">
        <x:v>2.1</x:v>
      </x:c>
      <x:c r="I141" s="10" t="n">
        <x:v>0</x:v>
      </x:c>
      <x:c r="J141" s="10" t="n">
        <x:f>XLOOKUP(A141,'日期维表'!$A$2:$A$43,'日期维表'!$F$2:$F$43,0)</x:f>
        <x:v>12</x:v>
      </x:c>
      <x:c r="K141" s="10" t="str">
        <x:f>XLOOKUP(B141,'产品维表'!$A$2:$A$5,'产品维表'!$B$2:$B$5,"未映射")</x:f>
        <x:v>H2</x:v>
      </x:c>
    </x:row>
    <x:row r="142" ht="15" hidden="0" customHeight="1">
      <x:c r="A142" s="10" t="n">
        <x:v>202412</x:v>
      </x:c>
      <x:c r="B142" s="10" t="n">
        <x:v>101</x:v>
      </x:c>
      <x:c r="C142" s="10" t="n">
        <x:v>365</x:v>
      </x:c>
      <x:c r="D142" s="10" t="n">
        <x:v>358</x:v>
      </x:c>
      <x:c r="E142" s="10" t="n">
        <x:v>7</x:v>
      </x:c>
      <x:c r="F142" s="10" t="n">
        <x:v>507</x:v>
      </x:c>
      <x:c r="G142" s="10" t="n">
        <x:v>5.3</x:v>
      </x:c>
      <x:c r="H142" s="10" t="n">
        <x:v>0.2</x:v>
      </x:c>
      <x:c r="I142" s="10" t="n">
        <x:v>0.7199</x:v>
      </x:c>
      <x:c r="J142" s="10" t="n">
        <x:f>XLOOKUP(A142,'日期维表'!$A$2:$A$43,'日期维表'!$F$2:$F$43,0)</x:f>
        <x:v>12</x:v>
      </x:c>
      <x:c r="K142" s="10" t="str">
        <x:f>XLOOKUP(B142,'产品维表'!$A$2:$A$5,'产品维表'!$B$2:$B$5,"未映射")</x:f>
        <x:v>L1</x:v>
      </x:c>
    </x:row>
    <x:row r="143" ht="15" hidden="0" customHeight="1">
      <x:c r="A143" s="10" t="n">
        <x:v>202412</x:v>
      </x:c>
      <x:c r="B143" s="10" t="n">
        <x:v>102</x:v>
      </x:c>
      <x:c r="C143" s="10" t="n">
        <x:v>180</x:v>
      </x:c>
      <x:c r="D143" s="10" t="n">
        <x:v>177</x:v>
      </x:c>
      <x:c r="E143" s="10" t="n">
        <x:v>3</x:v>
      </x:c>
      <x:c r="F143" s="10" t="n">
        <x:v>251</x:v>
      </x:c>
      <x:c r="G143" s="10" t="n">
        <x:v>5.5</x:v>
      </x:c>
      <x:c r="H143" s="10" t="n">
        <x:v>1.1</x:v>
      </x:c>
      <x:c r="I143" s="10" t="n">
        <x:v>0.7171</x:v>
      </x:c>
      <x:c r="J143" s="10" t="n">
        <x:f>XLOOKUP(A143,'日期维表'!$A$2:$A$43,'日期维表'!$F$2:$F$43,0)</x:f>
        <x:v>12</x:v>
      </x:c>
      <x:c r="K143" s="10" t="str">
        <x:f>XLOOKUP(B143,'产品维表'!$A$2:$A$5,'产品维表'!$B$2:$B$5,"未映射")</x:f>
        <x:v>L2</x:v>
      </x:c>
    </x:row>
    <x:row r="144" ht="15" hidden="0" customHeight="1">
      <x:c r="A144" s="10" t="n">
        <x:v>202412</x:v>
      </x:c>
      <x:c r="B144" s="10" t="n">
        <x:v>201</x:v>
      </x:c>
      <x:c r="C144" s="10" t="n">
        <x:v>0</x:v>
      </x:c>
      <x:c r="D144" s="10" t="n">
        <x:v>0</x:v>
      </x:c>
      <x:c r="E144" s="10" t="n">
        <x:v>0</x:v>
      </x:c>
      <x:c r="F144" s="10" t="n">
        <x:v>1</x:v>
      </x:c>
      <x:c r="G144" s="10" t="n">
        <x:v>4.3</x:v>
      </x:c>
      <x:c r="H144" s="10" t="n">
        <x:v>2.8</x:v>
      </x:c>
      <x:c r="I144" s="10" t="n">
        <x:v>0</x:v>
      </x:c>
      <x:c r="J144" s="10" t="n">
        <x:f>XLOOKUP(A144,'日期维表'!$A$2:$A$43,'日期维表'!$F$2:$F$43,0)</x:f>
        <x:v>12</x:v>
      </x:c>
      <x:c r="K144" s="10" t="str">
        <x:f>XLOOKUP(B144,'产品维表'!$A$2:$A$5,'产品维表'!$B$2:$B$5,"未映射")</x:f>
        <x:v>H1</x:v>
      </x:c>
    </x:row>
    <x:row r="145" ht="15" hidden="0" customHeight="1">
      <x:c r="A145" s="10" t="n">
        <x:v>202412</x:v>
      </x:c>
      <x:c r="B145" s="10" t="n">
        <x:v>202</x:v>
      </x:c>
      <x:c r="C145" s="10" t="n">
        <x:v>0</x:v>
      </x:c>
      <x:c r="D145" s="10" t="n">
        <x:v>0</x:v>
      </x:c>
      <x:c r="E145" s="10" t="n">
        <x:v>0</x:v>
      </x:c>
      <x:c r="F145" s="10" t="n">
        <x:v>1</x:v>
      </x:c>
      <x:c r="G145" s="10" t="n">
        <x:v>5.5</x:v>
      </x:c>
      <x:c r="H145" s="10" t="n">
        <x:v>0.6</x:v>
      </x:c>
      <x:c r="I145" s="10" t="n">
        <x:v>0</x:v>
      </x:c>
      <x:c r="J145" s="10" t="n">
        <x:f>XLOOKUP(A145,'日期维表'!$A$2:$A$43,'日期维表'!$F$2:$F$43,0)</x:f>
        <x:v>12</x:v>
      </x:c>
      <x:c r="K145" s="10" t="str">
        <x:f>XLOOKUP(B145,'产品维表'!$A$2:$A$5,'产品维表'!$B$2:$B$5,"未映射")</x:f>
        <x:v>H2</x:v>
      </x:c>
    </x:row>
    <x:row r="146" ht="15" hidden="0" customHeight="1">
      <x:c r="A146" s="10" t="n">
        <x:v>202501</x:v>
      </x:c>
      <x:c r="B146" s="10" t="n">
        <x:v>101</x:v>
      </x:c>
      <x:c r="C146" s="10" t="n">
        <x:v>357</x:v>
      </x:c>
      <x:c r="D146" s="10" t="n">
        <x:v>353</x:v>
      </x:c>
      <x:c r="E146" s="10" t="n">
        <x:v>4</x:v>
      </x:c>
      <x:c r="F146" s="10" t="n">
        <x:v>387</x:v>
      </x:c>
      <x:c r="G146" s="10" t="n">
        <x:v>5.4</x:v>
      </x:c>
      <x:c r="H146" s="10" t="n">
        <x:v>17.7</x:v>
      </x:c>
      <x:c r="I146" s="10" t="n">
        <x:v>0.9225</x:v>
      </x:c>
      <x:c r="J146" s="10" t="n">
        <x:f>XLOOKUP(A146,'日期维表'!$A$2:$A$43,'日期维表'!$F$2:$F$43,0)</x:f>
        <x:v>13</x:v>
      </x:c>
      <x:c r="K146" s="10" t="str">
        <x:f>XLOOKUP(B146,'产品维表'!$A$2:$A$5,'产品维表'!$B$2:$B$5,"未映射")</x:f>
        <x:v>L1</x:v>
      </x:c>
    </x:row>
    <x:row r="147" ht="15" hidden="0" customHeight="1">
      <x:c r="A147" s="10" t="n">
        <x:v>202501</x:v>
      </x:c>
      <x:c r="B147" s="10" t="n">
        <x:v>102</x:v>
      </x:c>
      <x:c r="C147" s="10" t="n">
        <x:v>286</x:v>
      </x:c>
      <x:c r="D147" s="10" t="n">
        <x:v>280</x:v>
      </x:c>
      <x:c r="E147" s="10" t="n">
        <x:v>6</x:v>
      </x:c>
      <x:c r="F147" s="10" t="n">
        <x:v>311</x:v>
      </x:c>
      <x:c r="G147" s="10" t="n">
        <x:v>5.8</x:v>
      </x:c>
      <x:c r="H147" s="10" t="n">
        <x:v>18.8</x:v>
      </x:c>
      <x:c r="I147" s="10" t="n">
        <x:v>0.9196</x:v>
      </x:c>
      <x:c r="J147" s="10" t="n">
        <x:f>XLOOKUP(A147,'日期维表'!$A$2:$A$43,'日期维表'!$F$2:$F$43,0)</x:f>
        <x:v>13</x:v>
      </x:c>
      <x:c r="K147" s="10" t="str">
        <x:f>XLOOKUP(B147,'产品维表'!$A$2:$A$5,'产品维表'!$B$2:$B$5,"未映射")</x:f>
        <x:v>L2</x:v>
      </x:c>
    </x:row>
    <x:row r="148" ht="15" hidden="0" customHeight="1">
      <x:c r="A148" s="10" t="n">
        <x:v>202501</x:v>
      </x:c>
      <x:c r="B148" s="10" t="n">
        <x:v>201</x:v>
      </x:c>
      <x:c r="C148" s="10" t="n">
        <x:v>0</x:v>
      </x:c>
      <x:c r="D148" s="10" t="n">
        <x:v>0</x:v>
      </x:c>
      <x:c r="E148" s="10" t="n">
        <x:v>0</x:v>
      </x:c>
      <x:c r="F148" s="10" t="n">
        <x:v>1</x:v>
      </x:c>
      <x:c r="G148" s="10" t="n">
        <x:v>4.3</x:v>
      </x:c>
      <x:c r="H148" s="10" t="n">
        <x:v>0.6</x:v>
      </x:c>
      <x:c r="I148" s="10" t="n">
        <x:v>0</x:v>
      </x:c>
      <x:c r="J148" s="10" t="n">
        <x:f>XLOOKUP(A148,'日期维表'!$A$2:$A$43,'日期维表'!$F$2:$F$43,0)</x:f>
        <x:v>13</x:v>
      </x:c>
      <x:c r="K148" s="10" t="str">
        <x:f>XLOOKUP(B148,'产品维表'!$A$2:$A$5,'产品维表'!$B$2:$B$5,"未映射")</x:f>
        <x:v>H1</x:v>
      </x:c>
    </x:row>
    <x:row r="149" ht="15" hidden="0" customHeight="1">
      <x:c r="A149" s="10" t="n">
        <x:v>202501</x:v>
      </x:c>
      <x:c r="B149" s="10" t="n">
        <x:v>202</x:v>
      </x:c>
      <x:c r="C149" s="10" t="n">
        <x:v>0</x:v>
      </x:c>
      <x:c r="D149" s="10" t="n">
        <x:v>0</x:v>
      </x:c>
      <x:c r="E149" s="10" t="n">
        <x:v>0</x:v>
      </x:c>
      <x:c r="F149" s="10" t="n">
        <x:v>1</x:v>
      </x:c>
      <x:c r="G149" s="10" t="n">
        <x:v>4.6</x:v>
      </x:c>
      <x:c r="H149" s="10" t="n">
        <x:v>0.1</x:v>
      </x:c>
      <x:c r="I149" s="10" t="n">
        <x:v>0</x:v>
      </x:c>
      <x:c r="J149" s="10" t="n">
        <x:f>XLOOKUP(A149,'日期维表'!$A$2:$A$43,'日期维表'!$F$2:$F$43,0)</x:f>
        <x:v>13</x:v>
      </x:c>
      <x:c r="K149" s="10" t="str">
        <x:f>XLOOKUP(B149,'产品维表'!$A$2:$A$5,'产品维表'!$B$2:$B$5,"未映射")</x:f>
        <x:v>H2</x:v>
      </x:c>
    </x:row>
    <x:row r="150" ht="15" hidden="0" customHeight="1">
      <x:c r="A150" s="10" t="n">
        <x:v>202502</x:v>
      </x:c>
      <x:c r="B150" s="10" t="n">
        <x:v>101</x:v>
      </x:c>
      <x:c r="C150" s="10" t="n">
        <x:v>340</x:v>
      </x:c>
      <x:c r="D150" s="10" t="n">
        <x:v>336</x:v>
      </x:c>
      <x:c r="E150" s="10" t="n">
        <x:v>4</x:v>
      </x:c>
      <x:c r="F150" s="10" t="n">
        <x:v>359</x:v>
      </x:c>
      <x:c r="G150" s="10" t="n">
        <x:v>7.4</x:v>
      </x:c>
      <x:c r="H150" s="10" t="n">
        <x:v>21.2</x:v>
      </x:c>
      <x:c r="I150" s="10" t="n">
        <x:v>0.9471</x:v>
      </x:c>
      <x:c r="J150" s="10" t="n">
        <x:f>XLOOKUP(A150,'日期维表'!$A$2:$A$43,'日期维表'!$F$2:$F$43,0)</x:f>
        <x:v>13</x:v>
      </x:c>
      <x:c r="K150" s="10" t="str">
        <x:f>XLOOKUP(B150,'产品维表'!$A$2:$A$5,'产品维表'!$B$2:$B$5,"未映射")</x:f>
        <x:v>L1</x:v>
      </x:c>
    </x:row>
    <x:row r="151" ht="15" hidden="0" customHeight="1">
      <x:c r="A151" s="10" t="n">
        <x:v>202502</x:v>
      </x:c>
      <x:c r="B151" s="10" t="n">
        <x:v>102</x:v>
      </x:c>
      <x:c r="C151" s="10" t="n">
        <x:v>321</x:v>
      </x:c>
      <x:c r="D151" s="10" t="n">
        <x:v>314</x:v>
      </x:c>
      <x:c r="E151" s="10" t="n">
        <x:v>7</x:v>
      </x:c>
      <x:c r="F151" s="10" t="n">
        <x:v>339</x:v>
      </x:c>
      <x:c r="G151" s="10" t="n">
        <x:v>7.2</x:v>
      </x:c>
      <x:c r="H151" s="10" t="n">
        <x:v>20.7</x:v>
      </x:c>
      <x:c r="I151" s="10" t="n">
        <x:v>0.9469</x:v>
      </x:c>
      <x:c r="J151" s="10" t="n">
        <x:f>XLOOKUP(A151,'日期维表'!$A$2:$A$43,'日期维表'!$F$2:$F$43,0)</x:f>
        <x:v>13</x:v>
      </x:c>
      <x:c r="K151" s="10" t="str">
        <x:f>XLOOKUP(B151,'产品维表'!$A$2:$A$5,'产品维表'!$B$2:$B$5,"未映射")</x:f>
        <x:v>L2</x:v>
      </x:c>
    </x:row>
    <x:row r="152" ht="15" hidden="0" customHeight="1">
      <x:c r="A152" s="10" t="n">
        <x:v>202502</x:v>
      </x:c>
      <x:c r="B152" s="10" t="n">
        <x:v>201</x:v>
      </x:c>
      <x:c r="C152" s="10" t="n">
        <x:v>0</x:v>
      </x:c>
      <x:c r="D152" s="10" t="n">
        <x:v>0</x:v>
      </x:c>
      <x:c r="E152" s="10" t="n">
        <x:v>0</x:v>
      </x:c>
      <x:c r="F152" s="10" t="n">
        <x:v>1</x:v>
      </x:c>
      <x:c r="G152" s="10" t="n">
        <x:v>2.2</x:v>
      </x:c>
      <x:c r="H152" s="10" t="n">
        <x:v>2.8</x:v>
      </x:c>
      <x:c r="I152" s="10" t="n">
        <x:v>0</x:v>
      </x:c>
      <x:c r="J152" s="10" t="n">
        <x:f>XLOOKUP(A152,'日期维表'!$A$2:$A$43,'日期维表'!$F$2:$F$43,0)</x:f>
        <x:v>13</x:v>
      </x:c>
      <x:c r="K152" s="10" t="str">
        <x:f>XLOOKUP(B152,'产品维表'!$A$2:$A$5,'产品维表'!$B$2:$B$5,"未映射")</x:f>
        <x:v>H1</x:v>
      </x:c>
    </x:row>
    <x:row r="153" ht="15" hidden="0" customHeight="1">
      <x:c r="A153" s="10" t="n">
        <x:v>202502</x:v>
      </x:c>
      <x:c r="B153" s="10" t="n">
        <x:v>202</x:v>
      </x:c>
      <x:c r="C153" s="10" t="n">
        <x:v>0</x:v>
      </x:c>
      <x:c r="D153" s="10" t="n">
        <x:v>0</x:v>
      </x:c>
      <x:c r="E153" s="10" t="n">
        <x:v>0</x:v>
      </x:c>
      <x:c r="F153" s="10" t="n">
        <x:v>1</x:v>
      </x:c>
      <x:c r="G153" s="10" t="n">
        <x:v>6.1</x:v>
      </x:c>
      <x:c r="H153" s="10" t="n">
        <x:v>0.8</x:v>
      </x:c>
      <x:c r="I153" s="10" t="n">
        <x:v>0</x:v>
      </x:c>
      <x:c r="J153" s="10" t="n">
        <x:f>XLOOKUP(A153,'日期维表'!$A$2:$A$43,'日期维表'!$F$2:$F$43,0)</x:f>
        <x:v>13</x:v>
      </x:c>
      <x:c r="K153" s="10" t="str">
        <x:f>XLOOKUP(B153,'产品维表'!$A$2:$A$5,'产品维表'!$B$2:$B$5,"未映射")</x:f>
        <x:v>H2</x:v>
      </x:c>
    </x:row>
    <x:row r="154" ht="15" hidden="0" customHeight="1">
      <x:c r="A154" s="10" t="n">
        <x:v>202503</x:v>
      </x:c>
      <x:c r="B154" s="10" t="n">
        <x:v>101</x:v>
      </x:c>
      <x:c r="C154" s="10" t="n">
        <x:v>473</x:v>
      </x:c>
      <x:c r="D154" s="10" t="n">
        <x:v>404</x:v>
      </x:c>
      <x:c r="E154" s="10" t="n">
        <x:v>8</x:v>
      </x:c>
      <x:c r="F154" s="10" t="n">
        <x:v>412</x:v>
      </x:c>
      <x:c r="G154" s="10" t="n">
        <x:v>6.4</x:v>
      </x:c>
      <x:c r="H154" s="10" t="n">
        <x:v>31.6</x:v>
      </x:c>
      <x:c r="I154" s="10" t="n">
        <x:v>1</x:v>
      </x:c>
      <x:c r="J154" s="10" t="n">
        <x:f>XLOOKUP(A154,'日期维表'!$A$2:$A$43,'日期维表'!$F$2:$F$43,0)</x:f>
        <x:v>13</x:v>
      </x:c>
      <x:c r="K154" s="10" t="str">
        <x:f>XLOOKUP(B154,'产品维表'!$A$2:$A$5,'产品维表'!$B$2:$B$5,"未映射")</x:f>
        <x:v>L1</x:v>
      </x:c>
    </x:row>
    <x:row r="155" ht="15" hidden="0" customHeight="1">
      <x:c r="A155" s="10" t="n">
        <x:v>202503</x:v>
      </x:c>
      <x:c r="B155" s="10" t="n">
        <x:v>102</x:v>
      </x:c>
      <x:c r="C155" s="10" t="n">
        <x:v>328</x:v>
      </x:c>
      <x:c r="D155" s="10" t="n">
        <x:v>282</x:v>
      </x:c>
      <x:c r="E155" s="10" t="n">
        <x:v>4</x:v>
      </x:c>
      <x:c r="F155" s="10" t="n">
        <x:v>286</x:v>
      </x:c>
      <x:c r="G155" s="10" t="n">
        <x:v>11.1</x:v>
      </x:c>
      <x:c r="H155" s="10" t="n">
        <x:v>31.7</x:v>
      </x:c>
      <x:c r="I155" s="10" t="n">
        <x:v>1</x:v>
      </x:c>
      <x:c r="J155" s="10" t="n">
        <x:f>XLOOKUP(A155,'日期维表'!$A$2:$A$43,'日期维表'!$F$2:$F$43,0)</x:f>
        <x:v>13</x:v>
      </x:c>
      <x:c r="K155" s="10" t="str">
        <x:f>XLOOKUP(B155,'产品维表'!$A$2:$A$5,'产品维表'!$B$2:$B$5,"未映射")</x:f>
        <x:v>L2</x:v>
      </x:c>
    </x:row>
    <x:row r="156" ht="15" hidden="0" customHeight="1">
      <x:c r="A156" s="10" t="n">
        <x:v>202503</x:v>
      </x:c>
      <x:c r="B156" s="10" t="n">
        <x:v>201</x:v>
      </x:c>
      <x:c r="C156" s="10" t="n">
        <x:v>0</x:v>
      </x:c>
      <x:c r="D156" s="10" t="n">
        <x:v>0</x:v>
      </x:c>
      <x:c r="E156" s="10" t="n">
        <x:v>0</x:v>
      </x:c>
      <x:c r="F156" s="10" t="n">
        <x:v>1</x:v>
      </x:c>
      <x:c r="G156" s="10" t="n">
        <x:v>8.9</x:v>
      </x:c>
      <x:c r="H156" s="10" t="n">
        <x:v>2.1</x:v>
      </x:c>
      <x:c r="I156" s="10" t="n">
        <x:v>0</x:v>
      </x:c>
      <x:c r="J156" s="10" t="n">
        <x:f>XLOOKUP(A156,'日期维表'!$A$2:$A$43,'日期维表'!$F$2:$F$43,0)</x:f>
        <x:v>13</x:v>
      </x:c>
      <x:c r="K156" s="10" t="str">
        <x:f>XLOOKUP(B156,'产品维表'!$A$2:$A$5,'产品维表'!$B$2:$B$5,"未映射")</x:f>
        <x:v>H1</x:v>
      </x:c>
    </x:row>
    <x:row r="157" ht="15" hidden="0" customHeight="1">
      <x:c r="A157" s="10" t="n">
        <x:v>202503</x:v>
      </x:c>
      <x:c r="B157" s="10" t="n">
        <x:v>202</x:v>
      </x:c>
      <x:c r="C157" s="10" t="n">
        <x:v>0</x:v>
      </x:c>
      <x:c r="D157" s="10" t="n">
        <x:v>0</x:v>
      </x:c>
      <x:c r="E157" s="10" t="n">
        <x:v>0</x:v>
      </x:c>
      <x:c r="F157" s="10" t="n">
        <x:v>1</x:v>
      </x:c>
      <x:c r="G157" s="10" t="n">
        <x:v>3.9</x:v>
      </x:c>
      <x:c r="H157" s="10" t="n">
        <x:v>0</x:v>
      </x:c>
      <x:c r="I157" s="10" t="n">
        <x:v>0</x:v>
      </x:c>
      <x:c r="J157" s="10" t="n">
        <x:f>XLOOKUP(A157,'日期维表'!$A$2:$A$43,'日期维表'!$F$2:$F$43,0)</x:f>
        <x:v>13</x:v>
      </x:c>
      <x:c r="K157" s="10" t="str">
        <x:f>XLOOKUP(B157,'产品维表'!$A$2:$A$5,'产品维表'!$B$2:$B$5,"未映射")</x:f>
        <x:v>H2</x:v>
      </x:c>
    </x:row>
    <x:row r="158" ht="15" hidden="0" customHeight="1">
      <x:c r="A158" s="10" t="n">
        <x:v>202504</x:v>
      </x:c>
      <x:c r="B158" s="10" t="n">
        <x:v>101</x:v>
      </x:c>
      <x:c r="C158" s="10" t="n">
        <x:v>609</x:v>
      </x:c>
      <x:c r="D158" s="10" t="n">
        <x:v>601</x:v>
      </x:c>
      <x:c r="E158" s="10" t="n">
        <x:v>8</x:v>
      </x:c>
      <x:c r="F158" s="10" t="n">
        <x:v>653</x:v>
      </x:c>
      <x:c r="G158" s="10" t="n">
        <x:v>4.5</x:v>
      </x:c>
      <x:c r="H158" s="10" t="n">
        <x:v>20.5</x:v>
      </x:c>
      <x:c r="I158" s="10" t="n">
        <x:v>0.9326</x:v>
      </x:c>
      <x:c r="J158" s="10" t="n">
        <x:f>XLOOKUP(A158,'日期维表'!$A$2:$A$43,'日期维表'!$F$2:$F$43,0)</x:f>
        <x:v>14</x:v>
      </x:c>
      <x:c r="K158" s="10" t="str">
        <x:f>XLOOKUP(B158,'产品维表'!$A$2:$A$5,'产品维表'!$B$2:$B$5,"未映射")</x:f>
        <x:v>L1</x:v>
      </x:c>
    </x:row>
    <x:row r="159" ht="15" hidden="0" customHeight="1">
      <x:c r="A159" s="10" t="n">
        <x:v>202504</x:v>
      </x:c>
      <x:c r="B159" s="10" t="n">
        <x:v>102</x:v>
      </x:c>
      <x:c r="C159" s="10" t="n">
        <x:v>302</x:v>
      </x:c>
      <x:c r="D159" s="10" t="n">
        <x:v>298</x:v>
      </x:c>
      <x:c r="E159" s="10" t="n">
        <x:v>4</x:v>
      </x:c>
      <x:c r="F159" s="10" t="n">
        <x:v>325</x:v>
      </x:c>
      <x:c r="G159" s="10" t="n">
        <x:v>5.5</x:v>
      </x:c>
      <x:c r="H159" s="10" t="n">
        <x:v>19.4</x:v>
      </x:c>
      <x:c r="I159" s="10" t="n">
        <x:v>0.9292</x:v>
      </x:c>
      <x:c r="J159" s="10" t="n">
        <x:f>XLOOKUP(A159,'日期维表'!$A$2:$A$43,'日期维表'!$F$2:$F$43,0)</x:f>
        <x:v>14</x:v>
      </x:c>
      <x:c r="K159" s="10" t="str">
        <x:f>XLOOKUP(B159,'产品维表'!$A$2:$A$5,'产品维表'!$B$2:$B$5,"未映射")</x:f>
        <x:v>L2</x:v>
      </x:c>
    </x:row>
    <x:row r="160" ht="15" hidden="0" customHeight="1">
      <x:c r="A160" s="10" t="n">
        <x:v>202504</x:v>
      </x:c>
      <x:c r="B160" s="10" t="n">
        <x:v>201</x:v>
      </x:c>
      <x:c r="C160" s="10" t="n">
        <x:v>0</x:v>
      </x:c>
      <x:c r="D160" s="10" t="n">
        <x:v>0</x:v>
      </x:c>
      <x:c r="E160" s="10" t="n">
        <x:v>0</x:v>
      </x:c>
      <x:c r="F160" s="10" t="n">
        <x:v>1</x:v>
      </x:c>
      <x:c r="G160" s="10" t="n">
        <x:v>5.3</x:v>
      </x:c>
      <x:c r="H160" s="10" t="n">
        <x:v>1.5</x:v>
      </x:c>
      <x:c r="I160" s="10" t="n">
        <x:v>0</x:v>
      </x:c>
      <x:c r="J160" s="10" t="n">
        <x:f>XLOOKUP(A160,'日期维表'!$A$2:$A$43,'日期维表'!$F$2:$F$43,0)</x:f>
        <x:v>14</x:v>
      </x:c>
      <x:c r="K160" s="10" t="str">
        <x:f>XLOOKUP(B160,'产品维表'!$A$2:$A$5,'产品维表'!$B$2:$B$5,"未映射")</x:f>
        <x:v>H1</x:v>
      </x:c>
    </x:row>
    <x:row r="161" ht="15" hidden="0" customHeight="1">
      <x:c r="A161" s="10" t="n">
        <x:v>202504</x:v>
      </x:c>
      <x:c r="B161" s="10" t="n">
        <x:v>202</x:v>
      </x:c>
      <x:c r="C161" s="10" t="n">
        <x:v>0</x:v>
      </x:c>
      <x:c r="D161" s="10" t="n">
        <x:v>0</x:v>
      </x:c>
      <x:c r="E161" s="10" t="n">
        <x:v>0</x:v>
      </x:c>
      <x:c r="F161" s="10" t="n">
        <x:v>1</x:v>
      </x:c>
      <x:c r="G161" s="10" t="n">
        <x:v>8.6</x:v>
      </x:c>
      <x:c r="H161" s="10" t="n">
        <x:v>2</x:v>
      </x:c>
      <x:c r="I161" s="10" t="n">
        <x:v>0</x:v>
      </x:c>
      <x:c r="J161" s="10" t="n">
        <x:f>XLOOKUP(A161,'日期维表'!$A$2:$A$43,'日期维表'!$F$2:$F$43,0)</x:f>
        <x:v>14</x:v>
      </x:c>
      <x:c r="K161" s="10" t="str">
        <x:f>XLOOKUP(B161,'产品维表'!$A$2:$A$5,'产品维表'!$B$2:$B$5,"未映射")</x:f>
        <x:v>H2</x:v>
      </x:c>
    </x:row>
    <x:row r="162" ht="15" hidden="0" customHeight="1">
      <x:c r="A162" s="10" t="n">
        <x:v>202505</x:v>
      </x:c>
      <x:c r="B162" s="10" t="n">
        <x:v>101</x:v>
      </x:c>
      <x:c r="C162" s="10" t="n">
        <x:v>345</x:v>
      </x:c>
      <x:c r="D162" s="10" t="n">
        <x:v>341</x:v>
      </x:c>
      <x:c r="E162" s="10" t="n">
        <x:v>4</x:v>
      </x:c>
      <x:c r="F162" s="10" t="n">
        <x:v>423</x:v>
      </x:c>
      <x:c r="G162" s="10" t="n">
        <x:v>9.8</x:v>
      </x:c>
      <x:c r="H162" s="10" t="n">
        <x:v>0.7</x:v>
      </x:c>
      <x:c r="I162" s="10" t="n">
        <x:v>0.8156</x:v>
      </x:c>
      <x:c r="J162" s="10" t="n">
        <x:f>XLOOKUP(A162,'日期维表'!$A$2:$A$43,'日期维表'!$F$2:$F$43,0)</x:f>
        <x:v>14</x:v>
      </x:c>
      <x:c r="K162" s="10" t="str">
        <x:f>XLOOKUP(B162,'产品维表'!$A$2:$A$5,'产品维表'!$B$2:$B$5,"未映射")</x:f>
        <x:v>L1</x:v>
      </x:c>
    </x:row>
    <x:row r="163" ht="15" hidden="0" customHeight="1">
      <x:c r="A163" s="10" t="n">
        <x:v>202505</x:v>
      </x:c>
      <x:c r="B163" s="10" t="n">
        <x:v>102</x:v>
      </x:c>
      <x:c r="C163" s="10" t="n">
        <x:v>453</x:v>
      </x:c>
      <x:c r="D163" s="10" t="n">
        <x:v>443</x:v>
      </x:c>
      <x:c r="E163" s="10" t="n">
        <x:v>10</x:v>
      </x:c>
      <x:c r="F163" s="10" t="n">
        <x:v>555</x:v>
      </x:c>
      <x:c r="G163" s="10" t="n">
        <x:v>8.7</x:v>
      </x:c>
      <x:c r="H163" s="10" t="n">
        <x:v>0.7</x:v>
      </x:c>
      <x:c r="I163" s="10" t="n">
        <x:v>0.8162</x:v>
      </x:c>
      <x:c r="J163" s="10" t="n">
        <x:f>XLOOKUP(A163,'日期维表'!$A$2:$A$43,'日期维表'!$F$2:$F$43,0)</x:f>
        <x:v>14</x:v>
      </x:c>
      <x:c r="K163" s="10" t="str">
        <x:f>XLOOKUP(B163,'产品维表'!$A$2:$A$5,'产品维表'!$B$2:$B$5,"未映射")</x:f>
        <x:v>L2</x:v>
      </x:c>
    </x:row>
    <x:row r="164" ht="15" hidden="0" customHeight="1">
      <x:c r="A164" s="10" t="n">
        <x:v>202505</x:v>
      </x:c>
      <x:c r="B164" s="10" t="n">
        <x:v>201</x:v>
      </x:c>
      <x:c r="C164" s="10" t="n">
        <x:v>0</x:v>
      </x:c>
      <x:c r="D164" s="10" t="n">
        <x:v>0</x:v>
      </x:c>
      <x:c r="E164" s="10" t="n">
        <x:v>0</x:v>
      </x:c>
      <x:c r="F164" s="10" t="n">
        <x:v>1</x:v>
      </x:c>
      <x:c r="G164" s="10" t="n">
        <x:v>5</x:v>
      </x:c>
      <x:c r="H164" s="10" t="n">
        <x:v>0.2</x:v>
      </x:c>
      <x:c r="I164" s="10" t="n">
        <x:v>0</x:v>
      </x:c>
      <x:c r="J164" s="10" t="n">
        <x:f>XLOOKUP(A164,'日期维表'!$A$2:$A$43,'日期维表'!$F$2:$F$43,0)</x:f>
        <x:v>14</x:v>
      </x:c>
      <x:c r="K164" s="10" t="str">
        <x:f>XLOOKUP(B164,'产品维表'!$A$2:$A$5,'产品维表'!$B$2:$B$5,"未映射")</x:f>
        <x:v>H1</x:v>
      </x:c>
    </x:row>
    <x:row r="165" ht="15" hidden="0" customHeight="1">
      <x:c r="A165" s="10" t="n">
        <x:v>202505</x:v>
      </x:c>
      <x:c r="B165" s="10" t="n">
        <x:v>202</x:v>
      </x:c>
      <x:c r="C165" s="10" t="n">
        <x:v>0</x:v>
      </x:c>
      <x:c r="D165" s="10" t="n">
        <x:v>0</x:v>
      </x:c>
      <x:c r="E165" s="10" t="n">
        <x:v>0</x:v>
      </x:c>
      <x:c r="F165" s="10" t="n">
        <x:v>1</x:v>
      </x:c>
      <x:c r="G165" s="10" t="n">
        <x:v>7.9</x:v>
      </x:c>
      <x:c r="H165" s="10" t="n">
        <x:v>0.6</x:v>
      </x:c>
      <x:c r="I165" s="10" t="n">
        <x:v>0</x:v>
      </x:c>
      <x:c r="J165" s="10" t="n">
        <x:f>XLOOKUP(A165,'日期维表'!$A$2:$A$43,'日期维表'!$F$2:$F$43,0)</x:f>
        <x:v>14</x:v>
      </x:c>
      <x:c r="K165" s="10" t="str">
        <x:f>XLOOKUP(B165,'产品维表'!$A$2:$A$5,'产品维表'!$B$2:$B$5,"未映射")</x:f>
        <x:v>H2</x:v>
      </x:c>
    </x:row>
    <x:row r="166" ht="15" hidden="0" customHeight="1">
      <x:c r="A166" s="10" t="n">
        <x:v>202506</x:v>
      </x:c>
      <x:c r="B166" s="10" t="n">
        <x:v>101</x:v>
      </x:c>
      <x:c r="C166" s="10" t="n">
        <x:v>568</x:v>
      </x:c>
      <x:c r="D166" s="10" t="n">
        <x:v>527</x:v>
      </x:c>
      <x:c r="E166" s="10" t="n">
        <x:v>10</x:v>
      </x:c>
      <x:c r="F166" s="10" t="n">
        <x:v>537</x:v>
      </x:c>
      <x:c r="G166" s="10" t="n">
        <x:v>7.4</x:v>
      </x:c>
      <x:c r="H166" s="10" t="n">
        <x:v>30.3</x:v>
      </x:c>
      <x:c r="I166" s="10" t="n">
        <x:v>1</x:v>
      </x:c>
      <x:c r="J166" s="10" t="n">
        <x:f>XLOOKUP(A166,'日期维表'!$A$2:$A$43,'日期维表'!$F$2:$F$43,0)</x:f>
        <x:v>14</x:v>
      </x:c>
      <x:c r="K166" s="10" t="str">
        <x:f>XLOOKUP(B166,'产品维表'!$A$2:$A$5,'产品维表'!$B$2:$B$5,"未映射")</x:f>
        <x:v>L1</x:v>
      </x:c>
    </x:row>
    <x:row r="167" ht="15" hidden="0" customHeight="1">
      <x:c r="A167" s="10" t="n">
        <x:v>202506</x:v>
      </x:c>
      <x:c r="B167" s="10" t="n">
        <x:v>102</x:v>
      </x:c>
      <x:c r="C167" s="10" t="n">
        <x:v>466</x:v>
      </x:c>
      <x:c r="D167" s="10" t="n">
        <x:v>434</x:v>
      </x:c>
      <x:c r="E167" s="10" t="n">
        <x:v>7</x:v>
      </x:c>
      <x:c r="F167" s="10" t="n">
        <x:v>441</x:v>
      </x:c>
      <x:c r="G167" s="10" t="n">
        <x:v>8.8</x:v>
      </x:c>
      <x:c r="H167" s="10" t="n">
        <x:v>29.5</x:v>
      </x:c>
      <x:c r="I167" s="10" t="n">
        <x:v>1</x:v>
      </x:c>
      <x:c r="J167" s="10" t="n">
        <x:f>XLOOKUP(A167,'日期维表'!$A$2:$A$43,'日期维表'!$F$2:$F$43,0)</x:f>
        <x:v>14</x:v>
      </x:c>
      <x:c r="K167" s="10" t="str">
        <x:f>XLOOKUP(B167,'产品维表'!$A$2:$A$5,'产品维表'!$B$2:$B$5,"未映射")</x:f>
        <x:v>L2</x:v>
      </x:c>
    </x:row>
    <x:row r="168" ht="15" hidden="0" customHeight="1">
      <x:c r="A168" s="10" t="n">
        <x:v>202506</x:v>
      </x:c>
      <x:c r="B168" s="10" t="n">
        <x:v>201</x:v>
      </x:c>
      <x:c r="C168" s="10" t="n">
        <x:v>0</x:v>
      </x:c>
      <x:c r="D168" s="10" t="n">
        <x:v>0</x:v>
      </x:c>
      <x:c r="E168" s="10" t="n">
        <x:v>0</x:v>
      </x:c>
      <x:c r="F168" s="10" t="n">
        <x:v>1</x:v>
      </x:c>
      <x:c r="G168" s="10" t="n">
        <x:v>5.3</x:v>
      </x:c>
      <x:c r="H168" s="10" t="n">
        <x:v>0.5</x:v>
      </x:c>
      <x:c r="I168" s="10" t="n">
        <x:v>0</x:v>
      </x:c>
      <x:c r="J168" s="10" t="n">
        <x:f>XLOOKUP(A168,'日期维表'!$A$2:$A$43,'日期维表'!$F$2:$F$43,0)</x:f>
        <x:v>14</x:v>
      </x:c>
      <x:c r="K168" s="10" t="str">
        <x:f>XLOOKUP(B168,'产品维表'!$A$2:$A$5,'产品维表'!$B$2:$B$5,"未映射")</x:f>
        <x:v>H1</x:v>
      </x:c>
    </x:row>
    <x:row r="169" ht="15" hidden="0" customHeight="1">
      <x:c r="A169" s="10" t="n">
        <x:v>202506</x:v>
      </x:c>
      <x:c r="B169" s="10" t="n">
        <x:v>202</x:v>
      </x:c>
      <x:c r="C169" s="10" t="n">
        <x:v>0</x:v>
      </x:c>
      <x:c r="D169" s="10" t="n">
        <x:v>0</x:v>
      </x:c>
      <x:c r="E169" s="10" t="n">
        <x:v>0</x:v>
      </x:c>
      <x:c r="F169" s="10" t="n">
        <x:v>1</x:v>
      </x:c>
      <x:c r="G169" s="10" t="n">
        <x:v>8.6</x:v>
      </x:c>
      <x:c r="H169" s="10" t="n">
        <x:v>0.1</x:v>
      </x:c>
      <x:c r="I169" s="10" t="n">
        <x:v>0</x:v>
      </x:c>
      <x:c r="J169" s="10" t="n">
        <x:f>XLOOKUP(A169,'日期维表'!$A$2:$A$43,'日期维表'!$F$2:$F$43,0)</x:f>
        <x:v>14</x:v>
      </x:c>
      <x:c r="K169" s="10" t="str">
        <x:f>XLOOKUP(B169,'产品维表'!$A$2:$A$5,'产品维表'!$B$2:$B$5,"未映射")</x:f>
        <x:v>H2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6.880000114440918" hidden="0" customWidth="1"/>
    <x:col min="3" max="3" width="12.25" hidden="0" customWidth="1"/>
    <x:col min="4" max="4" width="9" hidden="0" customWidth="1"/>
    <x:col min="5" max="5" width="10.630000114440918" hidden="0" customWidth="1"/>
    <x:col min="6" max="6" width="19.5" hidden="0" customWidth="1"/>
    <x:col min="7" max="7" width="15.630000114440918" hidden="0" customWidth="1"/>
    <x:col min="8" max="8" width="6.5" hidden="0" customWidth="1"/>
    <x:col min="9" max="9" width="11.25" hidden="0" customWidth="1"/>
    <x:col min="10" max="10" width="15.130000114440918" hidden="0" customWidth="1"/>
  </x:cols>
  <x:sheetData>
    <x:row r="1" ht="15" hidden="0" customHeight="1">
      <x:c r="A1" s="7" t="str">
        <x:v>cashflow_id</x:v>
      </x:c>
      <x:c r="B1" s="7" t="str">
        <x:v>date_key</x:v>
      </x:c>
      <x:c r="C1" s="7" t="str">
        <x:v>transaction_date</x:v>
      </x:c>
      <x:c r="D1" s="7" t="str">
        <x:v>quarter_seq</x:v>
      </x:c>
      <x:c r="E1" s="7" t="str">
        <x:v>flow_direction</x:v>
      </x:c>
      <x:c r="F1" s="7" t="str">
        <x:v>flow_category</x:v>
      </x:c>
      <x:c r="G1" s="7" t="str">
        <x:v>flow_category_cn</x:v>
      </x:c>
      <x:c r="H1" s="7" t="str">
        <x:v>amount</x:v>
      </x:c>
      <x:c r="I1" s="7" t="str">
        <x:v>signed_amount</x:v>
      </x:c>
      <x:c r="J1" s="7" t="str">
        <x:v>control_source</x:v>
      </x:c>
    </x:row>
    <x:row r="2" ht="15" hidden="0" customHeight="1">
      <x:c r="A2" s="10" t="str">
        <x:v>CF0001</x:v>
      </x:c>
      <x:c r="B2" s="10" t="n">
        <x:v>202201</x:v>
      </x:c>
      <x:c r="C2" s="10" t="n">
        <x:v>44579</x:v>
      </x:c>
      <x:c r="D2" s="10" t="n">
        <x:v>1</x:v>
      </x:c>
      <x:c r="E2" s="10" t="str">
        <x:v>Inflow</x:v>
      </x:c>
      <x:c r="F2" s="10" t="str">
        <x:v>financing_in</x:v>
      </x:c>
      <x:c r="G2" s="10" t="str">
        <x:v>融资及注资</x:v>
      </x:c>
      <x:c r="H2" s="53" t="n">
        <x:v>2753712</x:v>
      </x:c>
      <x:c r="I2" s="53" t="n">
        <x:v>2753712</x:v>
      </x:c>
      <x:c r="J2" s="10" t="str">
        <x:v>practicum_reconciled</x:v>
      </x:c>
    </x:row>
    <x:row r="3" ht="15" hidden="0" customHeight="1">
      <x:c r="A3" s="10" t="str">
        <x:v>CF0002</x:v>
      </x:c>
      <x:c r="B3" s="10" t="n">
        <x:v>202202</x:v>
      </x:c>
      <x:c r="C3" s="10" t="n">
        <x:v>44610</x:v>
      </x:c>
      <x:c r="D3" s="10" t="n">
        <x:v>1</x:v>
      </x:c>
      <x:c r="E3" s="10" t="str">
        <x:v>Inflow</x:v>
      </x:c>
      <x:c r="F3" s="10" t="str">
        <x:v>financing_in</x:v>
      </x:c>
      <x:c r="G3" s="10" t="str">
        <x:v>融资及注资</x:v>
      </x:c>
      <x:c r="H3" s="53" t="n">
        <x:v>2885098</x:v>
      </x:c>
      <x:c r="I3" s="53" t="n">
        <x:v>2885098</x:v>
      </x:c>
      <x:c r="J3" s="10" t="str">
        <x:v>practicum_reconciled</x:v>
      </x:c>
    </x:row>
    <x:row r="4" ht="15" hidden="0" customHeight="1">
      <x:c r="A4" s="10" t="str">
        <x:v>CF0003</x:v>
      </x:c>
      <x:c r="B4" s="10" t="n">
        <x:v>202203</x:v>
      </x:c>
      <x:c r="C4" s="10" t="n">
        <x:v>44638</x:v>
      </x:c>
      <x:c r="D4" s="10" t="n">
        <x:v>1</x:v>
      </x:c>
      <x:c r="E4" s="10" t="str">
        <x:v>Inflow</x:v>
      </x:c>
      <x:c r="F4" s="10" t="str">
        <x:v>financing_in</x:v>
      </x:c>
      <x:c r="G4" s="10" t="str">
        <x:v>融资及注资</x:v>
      </x:c>
      <x:c r="H4" s="53" t="n">
        <x:v>4361190</x:v>
      </x:c>
      <x:c r="I4" s="53" t="n">
        <x:v>4361190</x:v>
      </x:c>
      <x:c r="J4" s="10" t="str">
        <x:v>practicum_reconciled</x:v>
      </x:c>
    </x:row>
    <x:row r="5" ht="15" hidden="0" customHeight="1">
      <x:c r="A5" s="10" t="str">
        <x:v>CF0004</x:v>
      </x:c>
      <x:c r="B5" s="10" t="n">
        <x:v>202201</x:v>
      </x:c>
      <x:c r="C5" s="10" t="n">
        <x:v>44579</x:v>
      </x:c>
      <x:c r="D5" s="10" t="n">
        <x:v>1</x:v>
      </x:c>
      <x:c r="E5" s="10" t="str">
        <x:v>Outflow</x:v>
      </x:c>
      <x:c r="F5" s="10" t="str">
        <x:v>productive_fixed_assets</x:v>
      </x:c>
      <x:c r="G5" s="10" t="str">
        <x:v>生产性固定资产</x:v>
      </x:c>
      <x:c r="H5" s="53" t="n">
        <x:v>1377961</x:v>
      </x:c>
      <x:c r="I5" s="53" t="n">
        <x:v>-1377961</x:v>
      </x:c>
      <x:c r="J5" s="10" t="str">
        <x:v>practicum_reconciled</x:v>
      </x:c>
    </x:row>
    <x:row r="6" ht="15" hidden="0" customHeight="1">
      <x:c r="A6" s="10" t="str">
        <x:v>CF0005</x:v>
      </x:c>
      <x:c r="B6" s="10" t="n">
        <x:v>202202</x:v>
      </x:c>
      <x:c r="C6" s="10" t="n">
        <x:v>44610</x:v>
      </x:c>
      <x:c r="D6" s="10" t="n">
        <x:v>1</x:v>
      </x:c>
      <x:c r="E6" s="10" t="str">
        <x:v>Outflow</x:v>
      </x:c>
      <x:c r="F6" s="10" t="str">
        <x:v>productive_fixed_assets</x:v>
      </x:c>
      <x:c r="G6" s="10" t="str">
        <x:v>生产性固定资产</x:v>
      </x:c>
      <x:c r="H6" s="53" t="n">
        <x:v>1359996</x:v>
      </x:c>
      <x:c r="I6" s="53" t="n">
        <x:v>-1359996</x:v>
      </x:c>
      <x:c r="J6" s="10" t="str">
        <x:v>practicum_reconciled</x:v>
      </x:c>
    </x:row>
    <x:row r="7" ht="15" hidden="0" customHeight="1">
      <x:c r="A7" s="10" t="str">
        <x:v>CF0006</x:v>
      </x:c>
      <x:c r="B7" s="10" t="n">
        <x:v>202203</x:v>
      </x:c>
      <x:c r="C7" s="10" t="n">
        <x:v>44638</x:v>
      </x:c>
      <x:c r="D7" s="10" t="n">
        <x:v>1</x:v>
      </x:c>
      <x:c r="E7" s="10" t="str">
        <x:v>Outflow</x:v>
      </x:c>
      <x:c r="F7" s="10" t="str">
        <x:v>productive_fixed_assets</x:v>
      </x:c>
      <x:c r="G7" s="10" t="str">
        <x:v>生产性固定资产</x:v>
      </x:c>
      <x:c r="H7" s="53" t="n">
        <x:v>1762043</x:v>
      </x:c>
      <x:c r="I7" s="53" t="n">
        <x:v>-1762043</x:v>
      </x:c>
      <x:c r="J7" s="10" t="str">
        <x:v>practicum_reconciled</x:v>
      </x:c>
    </x:row>
    <x:row r="8" ht="15" hidden="0" customHeight="1">
      <x:c r="A8" s="10" t="str">
        <x:v>CF0007</x:v>
      </x:c>
      <x:c r="B8" s="10" t="n">
        <x:v>202201</x:v>
      </x:c>
      <x:c r="C8" s="10" t="n">
        <x:v>44579</x:v>
      </x:c>
      <x:c r="D8" s="10" t="n">
        <x:v>1</x:v>
      </x:c>
      <x:c r="E8" s="10" t="str">
        <x:v>Outflow</x:v>
      </x:c>
      <x:c r="F8" s="10" t="str">
        <x:v>raw_material_warehouse</x:v>
      </x:c>
      <x:c r="G8" s="10" t="str">
        <x:v>原材料仓储</x:v>
      </x:c>
      <x:c r="H8" s="53" t="n">
        <x:v>220774</x:v>
      </x:c>
      <x:c r="I8" s="53" t="n">
        <x:v>-220774</x:v>
      </x:c>
      <x:c r="J8" s="10" t="str">
        <x:v>practicum_reconciled</x:v>
      </x:c>
    </x:row>
    <x:row r="9" ht="15" hidden="0" customHeight="1">
      <x:c r="A9" s="10" t="str">
        <x:v>CF0008</x:v>
      </x:c>
      <x:c r="B9" s="10" t="n">
        <x:v>202202</x:v>
      </x:c>
      <x:c r="C9" s="10" t="n">
        <x:v>44610</x:v>
      </x:c>
      <x:c r="D9" s="10" t="n">
        <x:v>1</x:v>
      </x:c>
      <x:c r="E9" s="10" t="str">
        <x:v>Outflow</x:v>
      </x:c>
      <x:c r="F9" s="10" t="str">
        <x:v>raw_material_warehouse</x:v>
      </x:c>
      <x:c r="G9" s="10" t="str">
        <x:v>原材料仓储</x:v>
      </x:c>
      <x:c r="H9" s="53" t="n">
        <x:v>260568</x:v>
      </x:c>
      <x:c r="I9" s="53" t="n">
        <x:v>-260568</x:v>
      </x:c>
      <x:c r="J9" s="10" t="str">
        <x:v>practicum_reconciled</x:v>
      </x:c>
    </x:row>
    <x:row r="10" ht="15" hidden="0" customHeight="1">
      <x:c r="A10" s="10" t="str">
        <x:v>CF0009</x:v>
      </x:c>
      <x:c r="B10" s="10" t="n">
        <x:v>202203</x:v>
      </x:c>
      <x:c r="C10" s="10" t="n">
        <x:v>44638</x:v>
      </x:c>
      <x:c r="D10" s="10" t="n">
        <x:v>1</x:v>
      </x:c>
      <x:c r="E10" s="10" t="str">
        <x:v>Outflow</x:v>
      </x:c>
      <x:c r="F10" s="10" t="str">
        <x:v>raw_material_warehouse</x:v>
      </x:c>
      <x:c r="G10" s="10" t="str">
        <x:v>原材料仓储</x:v>
      </x:c>
      <x:c r="H10" s="53" t="n">
        <x:v>318658</x:v>
      </x:c>
      <x:c r="I10" s="53" t="n">
        <x:v>-318658</x:v>
      </x:c>
      <x:c r="J10" s="10" t="str">
        <x:v>practicum_reconciled</x:v>
      </x:c>
    </x:row>
    <x:row r="11" ht="15" hidden="0" customHeight="1">
      <x:c r="A11" s="10" t="str">
        <x:v>CF0010</x:v>
      </x:c>
      <x:c r="B11" s="10" t="n">
        <x:v>202201</x:v>
      </x:c>
      <x:c r="C11" s="10" t="n">
        <x:v>44579</x:v>
      </x:c>
      <x:c r="D11" s="10" t="n">
        <x:v>1</x:v>
      </x:c>
      <x:c r="E11" s="10" t="str">
        <x:v>Outflow</x:v>
      </x:c>
      <x:c r="F11" s="10" t="str">
        <x:v>labor_cost</x:v>
      </x:c>
      <x:c r="G11" s="10" t="str">
        <x:v>人员成本</x:v>
      </x:c>
      <x:c r="H11" s="53" t="n">
        <x:v>55054</x:v>
      </x:c>
      <x:c r="I11" s="53" t="n">
        <x:v>-55054</x:v>
      </x:c>
      <x:c r="J11" s="10" t="str">
        <x:v>practicum_reconciled</x:v>
      </x:c>
    </x:row>
    <x:row r="12" ht="15" hidden="0" customHeight="1">
      <x:c r="A12" s="10" t="str">
        <x:v>CF0011</x:v>
      </x:c>
      <x:c r="B12" s="10" t="n">
        <x:v>202202</x:v>
      </x:c>
      <x:c r="C12" s="10" t="n">
        <x:v>44610</x:v>
      </x:c>
      <x:c r="D12" s="10" t="n">
        <x:v>1</x:v>
      </x:c>
      <x:c r="E12" s="10" t="str">
        <x:v>Outflow</x:v>
      </x:c>
      <x:c r="F12" s="10" t="str">
        <x:v>labor_cost</x:v>
      </x:c>
      <x:c r="G12" s="10" t="str">
        <x:v>人员成本</x:v>
      </x:c>
      <x:c r="H12" s="53" t="n">
        <x:v>71440</x:v>
      </x:c>
      <x:c r="I12" s="53" t="n">
        <x:v>-71440</x:v>
      </x:c>
      <x:c r="J12" s="10" t="str">
        <x:v>practicum_reconciled</x:v>
      </x:c>
    </x:row>
    <x:row r="13" ht="15" hidden="0" customHeight="1">
      <x:c r="A13" s="10" t="str">
        <x:v>CF0012</x:v>
      </x:c>
      <x:c r="B13" s="10" t="n">
        <x:v>202203</x:v>
      </x:c>
      <x:c r="C13" s="10" t="n">
        <x:v>44638</x:v>
      </x:c>
      <x:c r="D13" s="10" t="n">
        <x:v>1</x:v>
      </x:c>
      <x:c r="E13" s="10" t="str">
        <x:v>Outflow</x:v>
      </x:c>
      <x:c r="F13" s="10" t="str">
        <x:v>labor_cost</x:v>
      </x:c>
      <x:c r="G13" s="10" t="str">
        <x:v>人员成本</x:v>
      </x:c>
      <x:c r="H13" s="53" t="n">
        <x:v>89506</x:v>
      </x:c>
      <x:c r="I13" s="53" t="n">
        <x:v>-89506</x:v>
      </x:c>
      <x:c r="J13" s="10" t="str">
        <x:v>practicum_reconciled</x:v>
      </x:c>
    </x:row>
    <x:row r="14" ht="15" hidden="0" customHeight="1">
      <x:c r="A14" s="10" t="str">
        <x:v>CF0013</x:v>
      </x:c>
      <x:c r="B14" s="10" t="n">
        <x:v>202201</x:v>
      </x:c>
      <x:c r="C14" s="10" t="n">
        <x:v>44579</x:v>
      </x:c>
      <x:c r="D14" s="10" t="n">
        <x:v>1</x:v>
      </x:c>
      <x:c r="E14" s="10" t="str">
        <x:v>Outflow</x:v>
      </x:c>
      <x:c r="F14" s="10" t="str">
        <x:v>market_and_initial_product</x:v>
      </x:c>
      <x:c r="G14" s="10" t="str">
        <x:v>市场推广与首批产品</x:v>
      </x:c>
      <x:c r="H14" s="53" t="n">
        <x:v>392078</x:v>
      </x:c>
      <x:c r="I14" s="53" t="n">
        <x:v>-392078</x:v>
      </x:c>
      <x:c r="J14" s="10" t="str">
        <x:v>practicum_reconciled</x:v>
      </x:c>
    </x:row>
    <x:row r="15" ht="15" hidden="0" customHeight="1">
      <x:c r="A15" s="10" t="str">
        <x:v>CF0014</x:v>
      </x:c>
      <x:c r="B15" s="10" t="n">
        <x:v>202202</x:v>
      </x:c>
      <x:c r="C15" s="10" t="n">
        <x:v>44610</x:v>
      </x:c>
      <x:c r="D15" s="10" t="n">
        <x:v>1</x:v>
      </x:c>
      <x:c r="E15" s="10" t="str">
        <x:v>Outflow</x:v>
      </x:c>
      <x:c r="F15" s="10" t="str">
        <x:v>market_and_initial_product</x:v>
      </x:c>
      <x:c r="G15" s="10" t="str">
        <x:v>市场推广与首批产品</x:v>
      </x:c>
      <x:c r="H15" s="53" t="n">
        <x:v>433213</x:v>
      </x:c>
      <x:c r="I15" s="53" t="n">
        <x:v>-433213</x:v>
      </x:c>
      <x:c r="J15" s="10" t="str">
        <x:v>practicum_reconciled</x:v>
      </x:c>
    </x:row>
    <x:row r="16" ht="15" hidden="0" customHeight="1">
      <x:c r="A16" s="10" t="str">
        <x:v>CF0015</x:v>
      </x:c>
      <x:c r="B16" s="10" t="n">
        <x:v>202203</x:v>
      </x:c>
      <x:c r="C16" s="10" t="n">
        <x:v>44638</x:v>
      </x:c>
      <x:c r="D16" s="10" t="n">
        <x:v>1</x:v>
      </x:c>
      <x:c r="E16" s="10" t="str">
        <x:v>Outflow</x:v>
      </x:c>
      <x:c r="F16" s="10" t="str">
        <x:v>market_and_initial_product</x:v>
      </x:c>
      <x:c r="G16" s="10" t="str">
        <x:v>市场推广与首批产品</x:v>
      </x:c>
      <x:c r="H16" s="53" t="n">
        <x:v>554709</x:v>
      </x:c>
      <x:c r="I16" s="53" t="n">
        <x:v>-554709</x:v>
      </x:c>
      <x:c r="J16" s="10" t="str">
        <x:v>practicum_reconciled</x:v>
      </x:c>
    </x:row>
    <x:row r="17" ht="15" hidden="0" customHeight="1">
      <x:c r="A17" s="10" t="str">
        <x:v>CF0016</x:v>
      </x:c>
      <x:c r="B17" s="10" t="n">
        <x:v>202201</x:v>
      </x:c>
      <x:c r="C17" s="10" t="n">
        <x:v>44579</x:v>
      </x:c>
      <x:c r="D17" s="10" t="n">
        <x:v>1</x:v>
      </x:c>
      <x:c r="E17" s="10" t="str">
        <x:v>Outflow</x:v>
      </x:c>
      <x:c r="F17" s="10" t="str">
        <x:v>raw_material_purchase</x:v>
      </x:c>
      <x:c r="G17" s="10" t="str">
        <x:v>原材料采购</x:v>
      </x:c>
      <x:c r="H17" s="53" t="n">
        <x:v>95240</x:v>
      </x:c>
      <x:c r="I17" s="53" t="n">
        <x:v>-95240</x:v>
      </x:c>
      <x:c r="J17" s="10" t="str">
        <x:v>practicum_reconciled</x:v>
      </x:c>
    </x:row>
    <x:row r="18" ht="15" hidden="0" customHeight="1">
      <x:c r="A18" s="10" t="str">
        <x:v>CF0017</x:v>
      </x:c>
      <x:c r="B18" s="10" t="n">
        <x:v>202202</x:v>
      </x:c>
      <x:c r="C18" s="10" t="n">
        <x:v>44610</x:v>
      </x:c>
      <x:c r="D18" s="10" t="n">
        <x:v>1</x:v>
      </x:c>
      <x:c r="E18" s="10" t="str">
        <x:v>Outflow</x:v>
      </x:c>
      <x:c r="F18" s="10" t="str">
        <x:v>raw_material_purchase</x:v>
      </x:c>
      <x:c r="G18" s="10" t="str">
        <x:v>原材料采购</x:v>
      </x:c>
      <x:c r="H18" s="53" t="n">
        <x:v>121109</x:v>
      </x:c>
      <x:c r="I18" s="53" t="n">
        <x:v>-121109</x:v>
      </x:c>
      <x:c r="J18" s="10" t="str">
        <x:v>practicum_reconciled</x:v>
      </x:c>
    </x:row>
    <x:row r="19" ht="15" hidden="0" customHeight="1">
      <x:c r="A19" s="10" t="str">
        <x:v>CF0018</x:v>
      </x:c>
      <x:c r="B19" s="10" t="n">
        <x:v>202203</x:v>
      </x:c>
      <x:c r="C19" s="10" t="n">
        <x:v>44638</x:v>
      </x:c>
      <x:c r="D19" s="10" t="n">
        <x:v>1</x:v>
      </x:c>
      <x:c r="E19" s="10" t="str">
        <x:v>Outflow</x:v>
      </x:c>
      <x:c r="F19" s="10" t="str">
        <x:v>raw_material_purchase</x:v>
      </x:c>
      <x:c r="G19" s="10" t="str">
        <x:v>原材料采购</x:v>
      </x:c>
      <x:c r="H19" s="53" t="n">
        <x:v>143651</x:v>
      </x:c>
      <x:c r="I19" s="53" t="n">
        <x:v>-143651</x:v>
      </x:c>
      <x:c r="J19" s="10" t="str">
        <x:v>practicum_reconciled</x:v>
      </x:c>
    </x:row>
    <x:row r="20" ht="15" hidden="0" customHeight="1">
      <x:c r="A20" s="10" t="str">
        <x:v>CF0019</x:v>
      </x:c>
      <x:c r="B20" s="10" t="n">
        <x:v>202201</x:v>
      </x:c>
      <x:c r="C20" s="10" t="n">
        <x:v>44579</x:v>
      </x:c>
      <x:c r="D20" s="10" t="n">
        <x:v>1</x:v>
      </x:c>
      <x:c r="E20" s="10" t="str">
        <x:v>Outflow</x:v>
      </x:c>
      <x:c r="F20" s="10" t="str">
        <x:v>r_and_d</x:v>
      </x:c>
      <x:c r="G20" s="10" t="str">
        <x:v>研发投入</x:v>
      </x:c>
      <x:c r="H20" s="53" t="n">
        <x:v>327860</x:v>
      </x:c>
      <x:c r="I20" s="53" t="n">
        <x:v>-327860</x:v>
      </x:c>
      <x:c r="J20" s="10" t="str">
        <x:v>practicum_reconciled</x:v>
      </x:c>
    </x:row>
    <x:row r="21" ht="15" hidden="0" customHeight="1">
      <x:c r="A21" s="10" t="str">
        <x:v>CF0020</x:v>
      </x:c>
      <x:c r="B21" s="10" t="n">
        <x:v>202202</x:v>
      </x:c>
      <x:c r="C21" s="10" t="n">
        <x:v>44610</x:v>
      </x:c>
      <x:c r="D21" s="10" t="n">
        <x:v>1</x:v>
      </x:c>
      <x:c r="E21" s="10" t="str">
        <x:v>Outflow</x:v>
      </x:c>
      <x:c r="F21" s="10" t="str">
        <x:v>r_and_d</x:v>
      </x:c>
      <x:c r="G21" s="10" t="str">
        <x:v>研发投入</x:v>
      </x:c>
      <x:c r="H21" s="53" t="n">
        <x:v>270591</x:v>
      </x:c>
      <x:c r="I21" s="53" t="n">
        <x:v>-270591</x:v>
      </x:c>
      <x:c r="J21" s="10" t="str">
        <x:v>practicum_reconciled</x:v>
      </x:c>
    </x:row>
    <x:row r="22" ht="15" hidden="0" customHeight="1">
      <x:c r="A22" s="10" t="str">
        <x:v>CF0021</x:v>
      </x:c>
      <x:c r="B22" s="10" t="n">
        <x:v>202203</x:v>
      </x:c>
      <x:c r="C22" s="10" t="n">
        <x:v>44638</x:v>
      </x:c>
      <x:c r="D22" s="10" t="n">
        <x:v>1</x:v>
      </x:c>
      <x:c r="E22" s="10" t="str">
        <x:v>Outflow</x:v>
      </x:c>
      <x:c r="F22" s="10" t="str">
        <x:v>r_and_d</x:v>
      </x:c>
      <x:c r="G22" s="10" t="str">
        <x:v>研发投入</x:v>
      </x:c>
      <x:c r="H22" s="53" t="n">
        <x:v>401549</x:v>
      </x:c>
      <x:c r="I22" s="53" t="n">
        <x:v>-401549</x:v>
      </x:c>
      <x:c r="J22" s="10" t="str">
        <x:v>practicum_reconciled</x:v>
      </x:c>
    </x:row>
    <x:row r="23" ht="15" hidden="0" customHeight="1">
      <x:c r="A23" s="10" t="str">
        <x:v>CF0022</x:v>
      </x:c>
      <x:c r="B23" s="10" t="n">
        <x:v>202204</x:v>
      </x:c>
      <x:c r="C23" s="10" t="n">
        <x:v>44669</x:v>
      </x:c>
      <x:c r="D23" s="10" t="n">
        <x:v>2</x:v>
      </x:c>
      <x:c r="E23" s="10" t="str">
        <x:v>Inflow</x:v>
      </x:c>
      <x:c r="F23" s="10" t="str">
        <x:v>interest_income</x:v>
      </x:c>
      <x:c r="G23" s="10" t="str">
        <x:v>存款利息</x:v>
      </x:c>
      <x:c r="H23" s="53" t="n">
        <x:v>6742</x:v>
      </x:c>
      <x:c r="I23" s="53" t="n">
        <x:v>6742</x:v>
      </x:c>
      <x:c r="J23" s="10" t="str">
        <x:v>practicum_reconciled</x:v>
      </x:c>
    </x:row>
    <x:row r="24" ht="15" hidden="0" customHeight="1">
      <x:c r="A24" s="10" t="str">
        <x:v>CF0023</x:v>
      </x:c>
      <x:c r="B24" s="10" t="n">
        <x:v>202205</x:v>
      </x:c>
      <x:c r="C24" s="10" t="n">
        <x:v>44699</x:v>
      </x:c>
      <x:c r="D24" s="10" t="n">
        <x:v>2</x:v>
      </x:c>
      <x:c r="E24" s="10" t="str">
        <x:v>Inflow</x:v>
      </x:c>
      <x:c r="F24" s="10" t="str">
        <x:v>interest_income</x:v>
      </x:c>
      <x:c r="G24" s="10" t="str">
        <x:v>存款利息</x:v>
      </x:c>
      <x:c r="H24" s="53" t="n">
        <x:v>8432</x:v>
      </x:c>
      <x:c r="I24" s="53" t="n">
        <x:v>8432</x:v>
      </x:c>
      <x:c r="J24" s="10" t="str">
        <x:v>practicum_reconciled</x:v>
      </x:c>
    </x:row>
    <x:row r="25" ht="15" hidden="0" customHeight="1">
      <x:c r="A25" s="10" t="str">
        <x:v>CF0024</x:v>
      </x:c>
      <x:c r="B25" s="10" t="n">
        <x:v>202206</x:v>
      </x:c>
      <x:c r="C25" s="10" t="n">
        <x:v>44730</x:v>
      </x:c>
      <x:c r="D25" s="10" t="n">
        <x:v>2</x:v>
      </x:c>
      <x:c r="E25" s="10" t="str">
        <x:v>Inflow</x:v>
      </x:c>
      <x:c r="F25" s="10" t="str">
        <x:v>interest_income</x:v>
      </x:c>
      <x:c r="G25" s="10" t="str">
        <x:v>存款利息</x:v>
      </x:c>
      <x:c r="H25" s="53" t="n">
        <x:v>9242</x:v>
      </x:c>
      <x:c r="I25" s="53" t="n">
        <x:v>9242</x:v>
      </x:c>
      <x:c r="J25" s="10" t="str">
        <x:v>practicum_reconciled</x:v>
      </x:c>
    </x:row>
    <x:row r="26" ht="15" hidden="0" customHeight="1">
      <x:c r="A26" s="10" t="str">
        <x:v>CF0025</x:v>
      </x:c>
      <x:c r="B26" s="10" t="n">
        <x:v>202204</x:v>
      </x:c>
      <x:c r="C26" s="10" t="n">
        <x:v>44669</x:v>
      </x:c>
      <x:c r="D26" s="10" t="n">
        <x:v>2</x:v>
      </x:c>
      <x:c r="E26" s="10" t="str">
        <x:v>Inflow</x:v>
      </x:c>
      <x:c r="F26" s="10" t="str">
        <x:v>financing_in</x:v>
      </x:c>
      <x:c r="G26" s="10" t="str">
        <x:v>融资及注资</x:v>
      </x:c>
      <x:c r="H26" s="53" t="n">
        <x:v>1562354</x:v>
      </x:c>
      <x:c r="I26" s="53" t="n">
        <x:v>1562354</x:v>
      </x:c>
      <x:c r="J26" s="10" t="str">
        <x:v>practicum_reconciled</x:v>
      </x:c>
    </x:row>
    <x:row r="27" ht="15" hidden="0" customHeight="1">
      <x:c r="A27" s="10" t="str">
        <x:v>CF0026</x:v>
      </x:c>
      <x:c r="B27" s="10" t="n">
        <x:v>202205</x:v>
      </x:c>
      <x:c r="C27" s="10" t="n">
        <x:v>44699</x:v>
      </x:c>
      <x:c r="D27" s="10" t="n">
        <x:v>2</x:v>
      </x:c>
      <x:c r="E27" s="10" t="str">
        <x:v>Inflow</x:v>
      </x:c>
      <x:c r="F27" s="10" t="str">
        <x:v>financing_in</x:v>
      </x:c>
      <x:c r="G27" s="10" t="str">
        <x:v>融资及注资</x:v>
      </x:c>
      <x:c r="H27" s="53" t="n">
        <x:v>1581869</x:v>
      </x:c>
      <x:c r="I27" s="53" t="n">
        <x:v>1581869</x:v>
      </x:c>
      <x:c r="J27" s="10" t="str">
        <x:v>practicum_reconciled</x:v>
      </x:c>
    </x:row>
    <x:row r="28" ht="15" hidden="0" customHeight="1">
      <x:c r="A28" s="10" t="str">
        <x:v>CF0027</x:v>
      </x:c>
      <x:c r="B28" s="10" t="n">
        <x:v>202206</x:v>
      </x:c>
      <x:c r="C28" s="10" t="n">
        <x:v>44730</x:v>
      </x:c>
      <x:c r="D28" s="10" t="n">
        <x:v>2</x:v>
      </x:c>
      <x:c r="E28" s="10" t="str">
        <x:v>Inflow</x:v>
      </x:c>
      <x:c r="F28" s="10" t="str">
        <x:v>financing_in</x:v>
      </x:c>
      <x:c r="G28" s="10" t="str">
        <x:v>融资及注资</x:v>
      </x:c>
      <x:c r="H28" s="53" t="n">
        <x:v>1855777</x:v>
      </x:c>
      <x:c r="I28" s="53" t="n">
        <x:v>1855777</x:v>
      </x:c>
      <x:c r="J28" s="10" t="str">
        <x:v>practicum_reconciled</x:v>
      </x:c>
    </x:row>
    <x:row r="29" ht="15" hidden="0" customHeight="1">
      <x:c r="A29" s="10" t="str">
        <x:v>CF0028</x:v>
      </x:c>
      <x:c r="B29" s="10" t="n">
        <x:v>202204</x:v>
      </x:c>
      <x:c r="C29" s="10" t="n">
        <x:v>44669</x:v>
      </x:c>
      <x:c r="D29" s="10" t="n">
        <x:v>2</x:v>
      </x:c>
      <x:c r="E29" s="10" t="str">
        <x:v>Outflow</x:v>
      </x:c>
      <x:c r="F29" s="10" t="str">
        <x:v>productive_fixed_assets</x:v>
      </x:c>
      <x:c r="G29" s="10" t="str">
        <x:v>生产性固定资产</x:v>
      </x:c>
      <x:c r="H29" s="53" t="n">
        <x:v>1125766</x:v>
      </x:c>
      <x:c r="I29" s="53" t="n">
        <x:v>-1125766</x:v>
      </x:c>
      <x:c r="J29" s="10" t="str">
        <x:v>practicum_reconciled</x:v>
      </x:c>
    </x:row>
    <x:row r="30" ht="15" hidden="0" customHeight="1">
      <x:c r="A30" s="10" t="str">
        <x:v>CF0029</x:v>
      </x:c>
      <x:c r="B30" s="10" t="n">
        <x:v>202205</x:v>
      </x:c>
      <x:c r="C30" s="10" t="n">
        <x:v>44699</x:v>
      </x:c>
      <x:c r="D30" s="10" t="n">
        <x:v>2</x:v>
      </x:c>
      <x:c r="E30" s="10" t="str">
        <x:v>Outflow</x:v>
      </x:c>
      <x:c r="F30" s="10" t="str">
        <x:v>productive_fixed_assets</x:v>
      </x:c>
      <x:c r="G30" s="10" t="str">
        <x:v>生产性固定资产</x:v>
      </x:c>
      <x:c r="H30" s="53" t="n">
        <x:v>1430372</x:v>
      </x:c>
      <x:c r="I30" s="53" t="n">
        <x:v>-1430372</x:v>
      </x:c>
      <x:c r="J30" s="10" t="str">
        <x:v>practicum_reconciled</x:v>
      </x:c>
    </x:row>
    <x:row r="31" ht="15" hidden="0" customHeight="1">
      <x:c r="A31" s="10" t="str">
        <x:v>CF0030</x:v>
      </x:c>
      <x:c r="B31" s="10" t="n">
        <x:v>202206</x:v>
      </x:c>
      <x:c r="C31" s="10" t="n">
        <x:v>44730</x:v>
      </x:c>
      <x:c r="D31" s="10" t="n">
        <x:v>2</x:v>
      </x:c>
      <x:c r="E31" s="10" t="str">
        <x:v>Outflow</x:v>
      </x:c>
      <x:c r="F31" s="10" t="str">
        <x:v>productive_fixed_assets</x:v>
      </x:c>
      <x:c r="G31" s="10" t="str">
        <x:v>生产性固定资产</x:v>
      </x:c>
      <x:c r="H31" s="53" t="n">
        <x:v>1346862</x:v>
      </x:c>
      <x:c r="I31" s="53" t="n">
        <x:v>-1346862</x:v>
      </x:c>
      <x:c r="J31" s="10" t="str">
        <x:v>practicum_reconciled</x:v>
      </x:c>
    </x:row>
    <x:row r="32" ht="15" hidden="0" customHeight="1">
      <x:c r="A32" s="10" t="str">
        <x:v>CF0031</x:v>
      </x:c>
      <x:c r="B32" s="10" t="n">
        <x:v>202204</x:v>
      </x:c>
      <x:c r="C32" s="10" t="n">
        <x:v>44669</x:v>
      </x:c>
      <x:c r="D32" s="10" t="n">
        <x:v>2</x:v>
      </x:c>
      <x:c r="E32" s="10" t="str">
        <x:v>Outflow</x:v>
      </x:c>
      <x:c r="F32" s="10" t="str">
        <x:v>raw_material_warehouse</x:v>
      </x:c>
      <x:c r="G32" s="10" t="str">
        <x:v>原材料仓储</x:v>
      </x:c>
      <x:c r="H32" s="53" t="n">
        <x:v>5736</x:v>
      </x:c>
      <x:c r="I32" s="53" t="n">
        <x:v>-5736</x:v>
      </x:c>
      <x:c r="J32" s="10" t="str">
        <x:v>practicum_reconciled</x:v>
      </x:c>
    </x:row>
    <x:row r="33" ht="15" hidden="0" customHeight="1">
      <x:c r="A33" s="10" t="str">
        <x:v>CF0032</x:v>
      </x:c>
      <x:c r="B33" s="10" t="n">
        <x:v>202205</x:v>
      </x:c>
      <x:c r="C33" s="10" t="n">
        <x:v>44699</x:v>
      </x:c>
      <x:c r="D33" s="10" t="n">
        <x:v>2</x:v>
      </x:c>
      <x:c r="E33" s="10" t="str">
        <x:v>Outflow</x:v>
      </x:c>
      <x:c r="F33" s="10" t="str">
        <x:v>raw_material_warehouse</x:v>
      </x:c>
      <x:c r="G33" s="10" t="str">
        <x:v>原材料仓储</x:v>
      </x:c>
      <x:c r="H33" s="53" t="n">
        <x:v>6297</x:v>
      </x:c>
      <x:c r="I33" s="53" t="n">
        <x:v>-6297</x:v>
      </x:c>
      <x:c r="J33" s="10" t="str">
        <x:v>practicum_reconciled</x:v>
      </x:c>
    </x:row>
    <x:row r="34" ht="15" hidden="0" customHeight="1">
      <x:c r="A34" s="10" t="str">
        <x:v>CF0033</x:v>
      </x:c>
      <x:c r="B34" s="10" t="n">
        <x:v>202206</x:v>
      </x:c>
      <x:c r="C34" s="10" t="n">
        <x:v>44730</x:v>
      </x:c>
      <x:c r="D34" s="10" t="n">
        <x:v>2</x:v>
      </x:c>
      <x:c r="E34" s="10" t="str">
        <x:v>Outflow</x:v>
      </x:c>
      <x:c r="F34" s="10" t="str">
        <x:v>raw_material_warehouse</x:v>
      </x:c>
      <x:c r="G34" s="10" t="str">
        <x:v>原材料仓储</x:v>
      </x:c>
      <x:c r="H34" s="53" t="n">
        <x:v>6867</x:v>
      </x:c>
      <x:c r="I34" s="53" t="n">
        <x:v>-6867</x:v>
      </x:c>
      <x:c r="J34" s="10" t="str">
        <x:v>practicum_reconciled</x:v>
      </x:c>
    </x:row>
    <x:row r="35" ht="15" hidden="0" customHeight="1">
      <x:c r="A35" s="10" t="str">
        <x:v>CF0034</x:v>
      </x:c>
      <x:c r="B35" s="10" t="n">
        <x:v>202204</x:v>
      </x:c>
      <x:c r="C35" s="10" t="n">
        <x:v>44669</x:v>
      </x:c>
      <x:c r="D35" s="10" t="n">
        <x:v>2</x:v>
      </x:c>
      <x:c r="E35" s="10" t="str">
        <x:v>Outflow</x:v>
      </x:c>
      <x:c r="F35" s="10" t="str">
        <x:v>labor_cost</x:v>
      </x:c>
      <x:c r="G35" s="10" t="str">
        <x:v>人员成本</x:v>
      </x:c>
      <x:c r="H35" s="53" t="n">
        <x:v>52658</x:v>
      </x:c>
      <x:c r="I35" s="53" t="n">
        <x:v>-52658</x:v>
      </x:c>
      <x:c r="J35" s="10" t="str">
        <x:v>practicum_reconciled</x:v>
      </x:c>
    </x:row>
    <x:row r="36" ht="15" hidden="0" customHeight="1">
      <x:c r="A36" s="10" t="str">
        <x:v>CF0035</x:v>
      </x:c>
      <x:c r="B36" s="10" t="n">
        <x:v>202205</x:v>
      </x:c>
      <x:c r="C36" s="10" t="n">
        <x:v>44699</x:v>
      </x:c>
      <x:c r="D36" s="10" t="n">
        <x:v>2</x:v>
      </x:c>
      <x:c r="E36" s="10" t="str">
        <x:v>Outflow</x:v>
      </x:c>
      <x:c r="F36" s="10" t="str">
        <x:v>labor_cost</x:v>
      </x:c>
      <x:c r="G36" s="10" t="str">
        <x:v>人员成本</x:v>
      </x:c>
      <x:c r="H36" s="53" t="n">
        <x:v>58913</x:v>
      </x:c>
      <x:c r="I36" s="53" t="n">
        <x:v>-58913</x:v>
      </x:c>
      <x:c r="J36" s="10" t="str">
        <x:v>practicum_reconciled</x:v>
      </x:c>
    </x:row>
    <x:row r="37" ht="15" hidden="0" customHeight="1">
      <x:c r="A37" s="10" t="str">
        <x:v>CF0036</x:v>
      </x:c>
      <x:c r="B37" s="10" t="n">
        <x:v>202206</x:v>
      </x:c>
      <x:c r="C37" s="10" t="n">
        <x:v>44730</x:v>
      </x:c>
      <x:c r="D37" s="10" t="n">
        <x:v>2</x:v>
      </x:c>
      <x:c r="E37" s="10" t="str">
        <x:v>Outflow</x:v>
      </x:c>
      <x:c r="F37" s="10" t="str">
        <x:v>labor_cost</x:v>
      </x:c>
      <x:c r="G37" s="10" t="str">
        <x:v>人员成本</x:v>
      </x:c>
      <x:c r="H37" s="53" t="n">
        <x:v>58429</x:v>
      </x:c>
      <x:c r="I37" s="53" t="n">
        <x:v>-58429</x:v>
      </x:c>
      <x:c r="J37" s="10" t="str">
        <x:v>practicum_reconciled</x:v>
      </x:c>
    </x:row>
    <x:row r="38" ht="15" hidden="0" customHeight="1">
      <x:c r="A38" s="10" t="str">
        <x:v>CF0037</x:v>
      </x:c>
      <x:c r="B38" s="10" t="n">
        <x:v>202204</x:v>
      </x:c>
      <x:c r="C38" s="10" t="n">
        <x:v>44669</x:v>
      </x:c>
      <x:c r="D38" s="10" t="n">
        <x:v>2</x:v>
      </x:c>
      <x:c r="E38" s="10" t="str">
        <x:v>Outflow</x:v>
      </x:c>
      <x:c r="F38" s="10" t="str">
        <x:v>market_and_initial_product</x:v>
      </x:c>
      <x:c r="G38" s="10" t="str">
        <x:v>市场推广与首批产品</x:v>
      </x:c>
      <x:c r="H38" s="53" t="n">
        <x:v>138382</x:v>
      </x:c>
      <x:c r="I38" s="53" t="n">
        <x:v>-138382</x:v>
      </x:c>
      <x:c r="J38" s="10" t="str">
        <x:v>practicum_reconciled</x:v>
      </x:c>
    </x:row>
    <x:row r="39" ht="15" hidden="0" customHeight="1">
      <x:c r="A39" s="10" t="str">
        <x:v>CF0038</x:v>
      </x:c>
      <x:c r="B39" s="10" t="n">
        <x:v>202205</x:v>
      </x:c>
      <x:c r="C39" s="10" t="n">
        <x:v>44699</x:v>
      </x:c>
      <x:c r="D39" s="10" t="n">
        <x:v>2</x:v>
      </x:c>
      <x:c r="E39" s="10" t="str">
        <x:v>Outflow</x:v>
      </x:c>
      <x:c r="F39" s="10" t="str">
        <x:v>market_and_initial_product</x:v>
      </x:c>
      <x:c r="G39" s="10" t="str">
        <x:v>市场推广与首批产品</x:v>
      </x:c>
      <x:c r="H39" s="53" t="n">
        <x:v>230631</x:v>
      </x:c>
      <x:c r="I39" s="53" t="n">
        <x:v>-230631</x:v>
      </x:c>
      <x:c r="J39" s="10" t="str">
        <x:v>practicum_reconciled</x:v>
      </x:c>
    </x:row>
    <x:row r="40" ht="15" hidden="0" customHeight="1">
      <x:c r="A40" s="10" t="str">
        <x:v>CF0039</x:v>
      </x:c>
      <x:c r="B40" s="10" t="n">
        <x:v>202206</x:v>
      </x:c>
      <x:c r="C40" s="10" t="n">
        <x:v>44730</x:v>
      </x:c>
      <x:c r="D40" s="10" t="n">
        <x:v>2</x:v>
      </x:c>
      <x:c r="E40" s="10" t="str">
        <x:v>Outflow</x:v>
      </x:c>
      <x:c r="F40" s="10" t="str">
        <x:v>market_and_initial_product</x:v>
      </x:c>
      <x:c r="G40" s="10" t="str">
        <x:v>市场推广与首批产品</x:v>
      </x:c>
      <x:c r="H40" s="53" t="n">
        <x:v>230987</x:v>
      </x:c>
      <x:c r="I40" s="53" t="n">
        <x:v>-230987</x:v>
      </x:c>
      <x:c r="J40" s="10" t="str">
        <x:v>practicum_reconciled</x:v>
      </x:c>
    </x:row>
    <x:row r="41" ht="15" hidden="0" customHeight="1">
      <x:c r="A41" s="10" t="str">
        <x:v>CF0040</x:v>
      </x:c>
      <x:c r="B41" s="10" t="n">
        <x:v>202204</x:v>
      </x:c>
      <x:c r="C41" s="10" t="n">
        <x:v>44669</x:v>
      </x:c>
      <x:c r="D41" s="10" t="n">
        <x:v>2</x:v>
      </x:c>
      <x:c r="E41" s="10" t="str">
        <x:v>Outflow</x:v>
      </x:c>
      <x:c r="F41" s="10" t="str">
        <x:v>raw_material_purchase</x:v>
      </x:c>
      <x:c r="G41" s="10" t="str">
        <x:v>原材料采购</x:v>
      </x:c>
      <x:c r="H41" s="53" t="n">
        <x:v>445268</x:v>
      </x:c>
      <x:c r="I41" s="53" t="n">
        <x:v>-445268</x:v>
      </x:c>
      <x:c r="J41" s="10" t="str">
        <x:v>practicum_reconciled</x:v>
      </x:c>
    </x:row>
    <x:row r="42" ht="15" hidden="0" customHeight="1">
      <x:c r="A42" s="10" t="str">
        <x:v>CF0041</x:v>
      </x:c>
      <x:c r="B42" s="10" t="n">
        <x:v>202205</x:v>
      </x:c>
      <x:c r="C42" s="10" t="n">
        <x:v>44699</x:v>
      </x:c>
      <x:c r="D42" s="10" t="n">
        <x:v>2</x:v>
      </x:c>
      <x:c r="E42" s="10" t="str">
        <x:v>Outflow</x:v>
      </x:c>
      <x:c r="F42" s="10" t="str">
        <x:v>raw_material_purchase</x:v>
      </x:c>
      <x:c r="G42" s="10" t="str">
        <x:v>原材料采购</x:v>
      </x:c>
      <x:c r="H42" s="53" t="n">
        <x:v>503303</x:v>
      </x:c>
      <x:c r="I42" s="53" t="n">
        <x:v>-503303</x:v>
      </x:c>
      <x:c r="J42" s="10" t="str">
        <x:v>practicum_reconciled</x:v>
      </x:c>
    </x:row>
    <x:row r="43" ht="15" hidden="0" customHeight="1">
      <x:c r="A43" s="10" t="str">
        <x:v>CF0042</x:v>
      </x:c>
      <x:c r="B43" s="10" t="n">
        <x:v>202206</x:v>
      </x:c>
      <x:c r="C43" s="10" t="n">
        <x:v>44730</x:v>
      </x:c>
      <x:c r="D43" s="10" t="n">
        <x:v>2</x:v>
      </x:c>
      <x:c r="E43" s="10" t="str">
        <x:v>Outflow</x:v>
      </x:c>
      <x:c r="F43" s="10" t="str">
        <x:v>raw_material_purchase</x:v>
      </x:c>
      <x:c r="G43" s="10" t="str">
        <x:v>原材料采购</x:v>
      </x:c>
      <x:c r="H43" s="53" t="n">
        <x:v>611429</x:v>
      </x:c>
      <x:c r="I43" s="53" t="n">
        <x:v>-611429</x:v>
      </x:c>
      <x:c r="J43" s="10" t="str">
        <x:v>practicum_reconciled</x:v>
      </x:c>
    </x:row>
    <x:row r="44" ht="15" hidden="0" customHeight="1">
      <x:c r="A44" s="10" t="str">
        <x:v>CF0043</x:v>
      </x:c>
      <x:c r="B44" s="10" t="n">
        <x:v>202207</x:v>
      </x:c>
      <x:c r="C44" s="10" t="n">
        <x:v>44760</x:v>
      </x:c>
      <x:c r="D44" s="10" t="n">
        <x:v>3</x:v>
      </x:c>
      <x:c r="E44" s="10" t="str">
        <x:v>Inflow</x:v>
      </x:c>
      <x:c r="F44" s="10" t="str">
        <x:v>interest_income</x:v>
      </x:c>
      <x:c r="G44" s="10" t="str">
        <x:v>存款利息</x:v>
      </x:c>
      <x:c r="H44" s="53" t="n">
        <x:v>2460</x:v>
      </x:c>
      <x:c r="I44" s="53" t="n">
        <x:v>2460</x:v>
      </x:c>
      <x:c r="J44" s="10" t="str">
        <x:v>practicum_reconciled</x:v>
      </x:c>
    </x:row>
    <x:row r="45" ht="15" hidden="0" customHeight="1">
      <x:c r="A45" s="10" t="str">
        <x:v>CF0044</x:v>
      </x:c>
      <x:c r="B45" s="10" t="n">
        <x:v>202208</x:v>
      </x:c>
      <x:c r="C45" s="10" t="n">
        <x:v>44791</x:v>
      </x:c>
      <x:c r="D45" s="10" t="n">
        <x:v>3</x:v>
      </x:c>
      <x:c r="E45" s="10" t="str">
        <x:v>Inflow</x:v>
      </x:c>
      <x:c r="F45" s="10" t="str">
        <x:v>interest_income</x:v>
      </x:c>
      <x:c r="G45" s="10" t="str">
        <x:v>存款利息</x:v>
      </x:c>
      <x:c r="H45" s="53" t="n">
        <x:v>2963</x:v>
      </x:c>
      <x:c r="I45" s="53" t="n">
        <x:v>2963</x:v>
      </x:c>
      <x:c r="J45" s="10" t="str">
        <x:v>practicum_reconciled</x:v>
      </x:c>
    </x:row>
    <x:row r="46" ht="15" hidden="0" customHeight="1">
      <x:c r="A46" s="10" t="str">
        <x:v>CF0045</x:v>
      </x:c>
      <x:c r="B46" s="10" t="n">
        <x:v>202209</x:v>
      </x:c>
      <x:c r="C46" s="10" t="n">
        <x:v>44822</x:v>
      </x:c>
      <x:c r="D46" s="10" t="n">
        <x:v>3</x:v>
      </x:c>
      <x:c r="E46" s="10" t="str">
        <x:v>Inflow</x:v>
      </x:c>
      <x:c r="F46" s="10" t="str">
        <x:v>interest_income</x:v>
      </x:c>
      <x:c r="G46" s="10" t="str">
        <x:v>存款利息</x:v>
      </x:c>
      <x:c r="H46" s="53" t="n">
        <x:v>2841</x:v>
      </x:c>
      <x:c r="I46" s="53" t="n">
        <x:v>2841</x:v>
      </x:c>
      <x:c r="J46" s="10" t="str">
        <x:v>practicum_reconciled</x:v>
      </x:c>
    </x:row>
    <x:row r="47" ht="15" hidden="0" customHeight="1">
      <x:c r="A47" s="10" t="str">
        <x:v>CF0046</x:v>
      </x:c>
      <x:c r="B47" s="10" t="n">
        <x:v>202207</x:v>
      </x:c>
      <x:c r="C47" s="10" t="n">
        <x:v>44760</x:v>
      </x:c>
      <x:c r="D47" s="10" t="n">
        <x:v>3</x:v>
      </x:c>
      <x:c r="E47" s="10" t="str">
        <x:v>Outflow</x:v>
      </x:c>
      <x:c r="F47" s="10" t="str">
        <x:v>labor_cost</x:v>
      </x:c>
      <x:c r="G47" s="10" t="str">
        <x:v>人员成本</x:v>
      </x:c>
      <x:c r="H47" s="53" t="n">
        <x:v>24810</x:v>
      </x:c>
      <x:c r="I47" s="53" t="n">
        <x:v>-24810</x:v>
      </x:c>
      <x:c r="J47" s="10" t="str">
        <x:v>practicum_reconciled</x:v>
      </x:c>
    </x:row>
    <x:row r="48" ht="15" hidden="0" customHeight="1">
      <x:c r="A48" s="10" t="str">
        <x:v>CF0047</x:v>
      </x:c>
      <x:c r="B48" s="10" t="n">
        <x:v>202208</x:v>
      </x:c>
      <x:c r="C48" s="10" t="n">
        <x:v>44791</x:v>
      </x:c>
      <x:c r="D48" s="10" t="n">
        <x:v>3</x:v>
      </x:c>
      <x:c r="E48" s="10" t="str">
        <x:v>Outflow</x:v>
      </x:c>
      <x:c r="F48" s="10" t="str">
        <x:v>labor_cost</x:v>
      </x:c>
      <x:c r="G48" s="10" t="str">
        <x:v>人员成本</x:v>
      </x:c>
      <x:c r="H48" s="53" t="n">
        <x:v>34523</x:v>
      </x:c>
      <x:c r="I48" s="53" t="n">
        <x:v>-34523</x:v>
      </x:c>
      <x:c r="J48" s="10" t="str">
        <x:v>practicum_reconciled</x:v>
      </x:c>
    </x:row>
    <x:row r="49" ht="15" hidden="0" customHeight="1">
      <x:c r="A49" s="10" t="str">
        <x:v>CF0048</x:v>
      </x:c>
      <x:c r="B49" s="10" t="n">
        <x:v>202209</x:v>
      </x:c>
      <x:c r="C49" s="10" t="n">
        <x:v>44822</x:v>
      </x:c>
      <x:c r="D49" s="10" t="n">
        <x:v>3</x:v>
      </x:c>
      <x:c r="E49" s="10" t="str">
        <x:v>Outflow</x:v>
      </x:c>
      <x:c r="F49" s="10" t="str">
        <x:v>labor_cost</x:v>
      </x:c>
      <x:c r="G49" s="10" t="str">
        <x:v>人员成本</x:v>
      </x:c>
      <x:c r="H49" s="53" t="n">
        <x:v>40667</x:v>
      </x:c>
      <x:c r="I49" s="53" t="n">
        <x:v>-40667</x:v>
      </x:c>
      <x:c r="J49" s="10" t="str">
        <x:v>practicum_reconciled</x:v>
      </x:c>
    </x:row>
    <x:row r="50" ht="15" hidden="0" customHeight="1">
      <x:c r="A50" s="10" t="str">
        <x:v>CF0049</x:v>
      </x:c>
      <x:c r="B50" s="10" t="n">
        <x:v>202207</x:v>
      </x:c>
      <x:c r="C50" s="10" t="n">
        <x:v>44760</x:v>
      </x:c>
      <x:c r="D50" s="10" t="n">
        <x:v>3</x:v>
      </x:c>
      <x:c r="E50" s="10" t="str">
        <x:v>Outflow</x:v>
      </x:c>
      <x:c r="F50" s="10" t="str">
        <x:v>staff_adjustment</x:v>
      </x:c>
      <x:c r="G50" s="10" t="str">
        <x:v>人员调整</x:v>
      </x:c>
      <x:c r="H50" s="53" t="n">
        <x:v>62228</x:v>
      </x:c>
      <x:c r="I50" s="53" t="n">
        <x:v>-62228</x:v>
      </x:c>
      <x:c r="J50" s="10" t="str">
        <x:v>practicum_reconciled</x:v>
      </x:c>
    </x:row>
    <x:row r="51" ht="15" hidden="0" customHeight="1">
      <x:c r="A51" s="10" t="str">
        <x:v>CF0050</x:v>
      </x:c>
      <x:c r="B51" s="10" t="n">
        <x:v>202208</x:v>
      </x:c>
      <x:c r="C51" s="10" t="n">
        <x:v>44791</x:v>
      </x:c>
      <x:c r="D51" s="10" t="n">
        <x:v>3</x:v>
      </x:c>
      <x:c r="E51" s="10" t="str">
        <x:v>Outflow</x:v>
      </x:c>
      <x:c r="F51" s="10" t="str">
        <x:v>staff_adjustment</x:v>
      </x:c>
      <x:c r="G51" s="10" t="str">
        <x:v>人员调整</x:v>
      </x:c>
      <x:c r="H51" s="53" t="n">
        <x:v>55354</x:v>
      </x:c>
      <x:c r="I51" s="53" t="n">
        <x:v>-55354</x:v>
      </x:c>
      <x:c r="J51" s="10" t="str">
        <x:v>practicum_reconciled</x:v>
      </x:c>
    </x:row>
    <x:row r="52" ht="15" hidden="0" customHeight="1">
      <x:c r="A52" s="10" t="str">
        <x:v>CF0051</x:v>
      </x:c>
      <x:c r="B52" s="10" t="n">
        <x:v>202209</x:v>
      </x:c>
      <x:c r="C52" s="10" t="n">
        <x:v>44822</x:v>
      </x:c>
      <x:c r="D52" s="10" t="n">
        <x:v>3</x:v>
      </x:c>
      <x:c r="E52" s="10" t="str">
        <x:v>Outflow</x:v>
      </x:c>
      <x:c r="F52" s="10" t="str">
        <x:v>staff_adjustment</x:v>
      </x:c>
      <x:c r="G52" s="10" t="str">
        <x:v>人员调整</x:v>
      </x:c>
      <x:c r="H52" s="53" t="n">
        <x:v>82418</x:v>
      </x:c>
      <x:c r="I52" s="53" t="n">
        <x:v>-82418</x:v>
      </x:c>
      <x:c r="J52" s="10" t="str">
        <x:v>practicum_reconciled</x:v>
      </x:c>
    </x:row>
    <x:row r="53" ht="15" hidden="0" customHeight="1">
      <x:c r="A53" s="10" t="str">
        <x:v>CF0052</x:v>
      </x:c>
      <x:c r="B53" s="10" t="n">
        <x:v>202207</x:v>
      </x:c>
      <x:c r="C53" s="10" t="n">
        <x:v>44760</x:v>
      </x:c>
      <x:c r="D53" s="10" t="n">
        <x:v>3</x:v>
      </x:c>
      <x:c r="E53" s="10" t="str">
        <x:v>Outflow</x:v>
      </x:c>
      <x:c r="F53" s="10" t="str">
        <x:v>loan_interest_penalty</x:v>
      </x:c>
      <x:c r="G53" s="10" t="str">
        <x:v>贷款利息及罚金</x:v>
      </x:c>
      <x:c r="H53" s="53" t="n">
        <x:v>35523</x:v>
      </x:c>
      <x:c r="I53" s="53" t="n">
        <x:v>-35523</x:v>
      </x:c>
      <x:c r="J53" s="10" t="str">
        <x:v>practicum_reconciled</x:v>
      </x:c>
    </x:row>
    <x:row r="54" ht="15" hidden="0" customHeight="1">
      <x:c r="A54" s="10" t="str">
        <x:v>CF0053</x:v>
      </x:c>
      <x:c r="B54" s="10" t="n">
        <x:v>202208</x:v>
      </x:c>
      <x:c r="C54" s="10" t="n">
        <x:v>44791</x:v>
      </x:c>
      <x:c r="D54" s="10" t="n">
        <x:v>3</x:v>
      </x:c>
      <x:c r="E54" s="10" t="str">
        <x:v>Outflow</x:v>
      </x:c>
      <x:c r="F54" s="10" t="str">
        <x:v>loan_interest_penalty</x:v>
      </x:c>
      <x:c r="G54" s="10" t="str">
        <x:v>贷款利息及罚金</x:v>
      </x:c>
      <x:c r="H54" s="53" t="n">
        <x:v>34652</x:v>
      </x:c>
      <x:c r="I54" s="53" t="n">
        <x:v>-34652</x:v>
      </x:c>
      <x:c r="J54" s="10" t="str">
        <x:v>practicum_reconciled</x:v>
      </x:c>
    </x:row>
    <x:row r="55" ht="15" hidden="0" customHeight="1">
      <x:c r="A55" s="10" t="str">
        <x:v>CF0054</x:v>
      </x:c>
      <x:c r="B55" s="10" t="n">
        <x:v>202209</x:v>
      </x:c>
      <x:c r="C55" s="10" t="n">
        <x:v>44822</x:v>
      </x:c>
      <x:c r="D55" s="10" t="n">
        <x:v>3</x:v>
      </x:c>
      <x:c r="E55" s="10" t="str">
        <x:v>Outflow</x:v>
      </x:c>
      <x:c r="F55" s="10" t="str">
        <x:v>loan_interest_penalty</x:v>
      </x:c>
      <x:c r="G55" s="10" t="str">
        <x:v>贷款利息及罚金</x:v>
      </x:c>
      <x:c r="H55" s="53" t="n">
        <x:v>39825</x:v>
      </x:c>
      <x:c r="I55" s="53" t="n">
        <x:v>-39825</x:v>
      </x:c>
      <x:c r="J55" s="10" t="str">
        <x:v>practicum_reconciled</x:v>
      </x:c>
    </x:row>
    <x:row r="56" ht="15" hidden="0" customHeight="1">
      <x:c r="A56" s="10" t="str">
        <x:v>CF0055</x:v>
      </x:c>
      <x:c r="B56" s="10" t="n">
        <x:v>202301</x:v>
      </x:c>
      <x:c r="C56" s="10" t="n">
        <x:v>44944</x:v>
      </x:c>
      <x:c r="D56" s="10" t="n">
        <x:v>5</x:v>
      </x:c>
      <x:c r="E56" s="10" t="str">
        <x:v>Inflow</x:v>
      </x:c>
      <x:c r="F56" s="10" t="str">
        <x:v>interest_income</x:v>
      </x:c>
      <x:c r="G56" s="10" t="str">
        <x:v>存款利息</x:v>
      </x:c>
      <x:c r="H56" s="53" t="n">
        <x:v>914</x:v>
      </x:c>
      <x:c r="I56" s="53" t="n">
        <x:v>914</x:v>
      </x:c>
      <x:c r="J56" s="10" t="str">
        <x:v>practicum_reconciled</x:v>
      </x:c>
    </x:row>
    <x:row r="57" ht="15" hidden="0" customHeight="1">
      <x:c r="A57" s="10" t="str">
        <x:v>CF0056</x:v>
      </x:c>
      <x:c r="B57" s="10" t="n">
        <x:v>202302</x:v>
      </x:c>
      <x:c r="C57" s="10" t="n">
        <x:v>44975</x:v>
      </x:c>
      <x:c r="D57" s="10" t="n">
        <x:v>5</x:v>
      </x:c>
      <x:c r="E57" s="10" t="str">
        <x:v>Inflow</x:v>
      </x:c>
      <x:c r="F57" s="10" t="str">
        <x:v>interest_income</x:v>
      </x:c>
      <x:c r="G57" s="10" t="str">
        <x:v>存款利息</x:v>
      </x:c>
      <x:c r="H57" s="53" t="n">
        <x:v>1052</x:v>
      </x:c>
      <x:c r="I57" s="53" t="n">
        <x:v>1052</x:v>
      </x:c>
      <x:c r="J57" s="10" t="str">
        <x:v>practicum_reconciled</x:v>
      </x:c>
    </x:row>
    <x:row r="58" ht="15" hidden="0" customHeight="1">
      <x:c r="A58" s="10" t="str">
        <x:v>CF0057</x:v>
      </x:c>
      <x:c r="B58" s="10" t="n">
        <x:v>202303</x:v>
      </x:c>
      <x:c r="C58" s="10" t="n">
        <x:v>45003</x:v>
      </x:c>
      <x:c r="D58" s="10" t="n">
        <x:v>5</x:v>
      </x:c>
      <x:c r="E58" s="10" t="str">
        <x:v>Inflow</x:v>
      </x:c>
      <x:c r="F58" s="10" t="str">
        <x:v>interest_income</x:v>
      </x:c>
      <x:c r="G58" s="10" t="str">
        <x:v>存款利息</x:v>
      </x:c>
      <x:c r="H58" s="53" t="n">
        <x:v>1706</x:v>
      </x:c>
      <x:c r="I58" s="53" t="n">
        <x:v>1706</x:v>
      </x:c>
      <x:c r="J58" s="10" t="str">
        <x:v>practicum_reconciled</x:v>
      </x:c>
    </x:row>
    <x:row r="59" ht="15" hidden="0" customHeight="1">
      <x:c r="A59" s="10" t="str">
        <x:v>CF0058</x:v>
      </x:c>
      <x:c r="B59" s="10" t="n">
        <x:v>202301</x:v>
      </x:c>
      <x:c r="C59" s="10" t="n">
        <x:v>44944</x:v>
      </x:c>
      <x:c r="D59" s="10" t="n">
        <x:v>5</x:v>
      </x:c>
      <x:c r="E59" s="10" t="str">
        <x:v>Inflow</x:v>
      </x:c>
      <x:c r="F59" s="10" t="str">
        <x:v>sales_receipts</x:v>
      </x:c>
      <x:c r="G59" s="10" t="str">
        <x:v>销售回款</x:v>
      </x:c>
      <x:c r="H59" s="53" t="n">
        <x:v>549427</x:v>
      </x:c>
      <x:c r="I59" s="53" t="n">
        <x:v>549427</x:v>
      </x:c>
      <x:c r="J59" s="10" t="str">
        <x:v>practicum_reconciled</x:v>
      </x:c>
    </x:row>
    <x:row r="60" ht="15" hidden="0" customHeight="1">
      <x:c r="A60" s="10" t="str">
        <x:v>CF0059</x:v>
      </x:c>
      <x:c r="B60" s="10" t="n">
        <x:v>202302</x:v>
      </x:c>
      <x:c r="C60" s="10" t="n">
        <x:v>44975</x:v>
      </x:c>
      <x:c r="D60" s="10" t="n">
        <x:v>5</x:v>
      </x:c>
      <x:c r="E60" s="10" t="str">
        <x:v>Inflow</x:v>
      </x:c>
      <x:c r="F60" s="10" t="str">
        <x:v>sales_receipts</x:v>
      </x:c>
      <x:c r="G60" s="10" t="str">
        <x:v>销售回款</x:v>
      </x:c>
      <x:c r="H60" s="53" t="n">
        <x:v>609877</x:v>
      </x:c>
      <x:c r="I60" s="53" t="n">
        <x:v>609877</x:v>
      </x:c>
      <x:c r="J60" s="10" t="str">
        <x:v>practicum_reconciled</x:v>
      </x:c>
    </x:row>
    <x:row r="61" ht="15" hidden="0" customHeight="1">
      <x:c r="A61" s="10" t="str">
        <x:v>CF0060</x:v>
      </x:c>
      <x:c r="B61" s="10" t="n">
        <x:v>202303</x:v>
      </x:c>
      <x:c r="C61" s="10" t="n">
        <x:v>45003</x:v>
      </x:c>
      <x:c r="D61" s="10" t="n">
        <x:v>5</x:v>
      </x:c>
      <x:c r="E61" s="10" t="str">
        <x:v>Inflow</x:v>
      </x:c>
      <x:c r="F61" s="10" t="str">
        <x:v>sales_receipts</x:v>
      </x:c>
      <x:c r="G61" s="10" t="str">
        <x:v>销售回款</x:v>
      </x:c>
      <x:c r="H61" s="53" t="n">
        <x:v>643196</x:v>
      </x:c>
      <x:c r="I61" s="53" t="n">
        <x:v>643196</x:v>
      </x:c>
      <x:c r="J61" s="10" t="str">
        <x:v>practicum_reconciled</x:v>
      </x:c>
    </x:row>
    <x:row r="62" ht="15" hidden="0" customHeight="1">
      <x:c r="A62" s="10" t="str">
        <x:v>CF0061</x:v>
      </x:c>
      <x:c r="B62" s="10" t="n">
        <x:v>202301</x:v>
      </x:c>
      <x:c r="C62" s="10" t="n">
        <x:v>44944</x:v>
      </x:c>
      <x:c r="D62" s="10" t="n">
        <x:v>5</x:v>
      </x:c>
      <x:c r="E62" s="10" t="str">
        <x:v>Outflow</x:v>
      </x:c>
      <x:c r="F62" s="10" t="str">
        <x:v>productive_fixed_assets</x:v>
      </x:c>
      <x:c r="G62" s="10" t="str">
        <x:v>生产性固定资产</x:v>
      </x:c>
      <x:c r="H62" s="53" t="n">
        <x:v>10130</x:v>
      </x:c>
      <x:c r="I62" s="53" t="n">
        <x:v>-10130</x:v>
      </x:c>
      <x:c r="J62" s="10" t="str">
        <x:v>practicum_reconciled</x:v>
      </x:c>
    </x:row>
    <x:row r="63" ht="15" hidden="0" customHeight="1">
      <x:c r="A63" s="10" t="str">
        <x:v>CF0062</x:v>
      </x:c>
      <x:c r="B63" s="10" t="n">
        <x:v>202302</x:v>
      </x:c>
      <x:c r="C63" s="10" t="n">
        <x:v>44975</x:v>
      </x:c>
      <x:c r="D63" s="10" t="n">
        <x:v>5</x:v>
      </x:c>
      <x:c r="E63" s="10" t="str">
        <x:v>Outflow</x:v>
      </x:c>
      <x:c r="F63" s="10" t="str">
        <x:v>productive_fixed_assets</x:v>
      </x:c>
      <x:c r="G63" s="10" t="str">
        <x:v>生产性固定资产</x:v>
      </x:c>
      <x:c r="H63" s="53" t="n">
        <x:v>16795</x:v>
      </x:c>
      <x:c r="I63" s="53" t="n">
        <x:v>-16795</x:v>
      </x:c>
      <x:c r="J63" s="10" t="str">
        <x:v>practicum_reconciled</x:v>
      </x:c>
    </x:row>
    <x:row r="64" ht="15" hidden="0" customHeight="1">
      <x:c r="A64" s="10" t="str">
        <x:v>CF0063</x:v>
      </x:c>
      <x:c r="B64" s="10" t="n">
        <x:v>202303</x:v>
      </x:c>
      <x:c r="C64" s="10" t="n">
        <x:v>45003</x:v>
      </x:c>
      <x:c r="D64" s="10" t="n">
        <x:v>5</x:v>
      </x:c>
      <x:c r="E64" s="10" t="str">
        <x:v>Outflow</x:v>
      </x:c>
      <x:c r="F64" s="10" t="str">
        <x:v>productive_fixed_assets</x:v>
      </x:c>
      <x:c r="G64" s="10" t="str">
        <x:v>生产性固定资产</x:v>
      </x:c>
      <x:c r="H64" s="53" t="n">
        <x:v>17382</x:v>
      </x:c>
      <x:c r="I64" s="53" t="n">
        <x:v>-17382</x:v>
      </x:c>
      <x:c r="J64" s="10" t="str">
        <x:v>practicum_reconciled</x:v>
      </x:c>
    </x:row>
    <x:row r="65" ht="15" hidden="0" customHeight="1">
      <x:c r="A65" s="10" t="str">
        <x:v>CF0064</x:v>
      </x:c>
      <x:c r="B65" s="10" t="n">
        <x:v>202301</x:v>
      </x:c>
      <x:c r="C65" s="10" t="n">
        <x:v>44944</x:v>
      </x:c>
      <x:c r="D65" s="10" t="n">
        <x:v>5</x:v>
      </x:c>
      <x:c r="E65" s="10" t="str">
        <x:v>Outflow</x:v>
      </x:c>
      <x:c r="F65" s="10" t="str">
        <x:v>raw_material_warehouse</x:v>
      </x:c>
      <x:c r="G65" s="10" t="str">
        <x:v>原材料仓储</x:v>
      </x:c>
      <x:c r="H65" s="53" t="n">
        <x:v>3895</x:v>
      </x:c>
      <x:c r="I65" s="53" t="n">
        <x:v>-3895</x:v>
      </x:c>
      <x:c r="J65" s="10" t="str">
        <x:v>practicum_reconciled</x:v>
      </x:c>
    </x:row>
    <x:row r="66" ht="15" hidden="0" customHeight="1">
      <x:c r="A66" s="10" t="str">
        <x:v>CF0065</x:v>
      </x:c>
      <x:c r="B66" s="10" t="n">
        <x:v>202302</x:v>
      </x:c>
      <x:c r="C66" s="10" t="n">
        <x:v>44975</x:v>
      </x:c>
      <x:c r="D66" s="10" t="n">
        <x:v>5</x:v>
      </x:c>
      <x:c r="E66" s="10" t="str">
        <x:v>Outflow</x:v>
      </x:c>
      <x:c r="F66" s="10" t="str">
        <x:v>raw_material_warehouse</x:v>
      </x:c>
      <x:c r="G66" s="10" t="str">
        <x:v>原材料仓储</x:v>
      </x:c>
      <x:c r="H66" s="53" t="n">
        <x:v>4331</x:v>
      </x:c>
      <x:c r="I66" s="53" t="n">
        <x:v>-4331</x:v>
      </x:c>
      <x:c r="J66" s="10" t="str">
        <x:v>practicum_reconciled</x:v>
      </x:c>
    </x:row>
    <x:row r="67" ht="15" hidden="0" customHeight="1">
      <x:c r="A67" s="10" t="str">
        <x:v>CF0066</x:v>
      </x:c>
      <x:c r="B67" s="10" t="n">
        <x:v>202303</x:v>
      </x:c>
      <x:c r="C67" s="10" t="n">
        <x:v>45003</x:v>
      </x:c>
      <x:c r="D67" s="10" t="n">
        <x:v>5</x:v>
      </x:c>
      <x:c r="E67" s="10" t="str">
        <x:v>Outflow</x:v>
      </x:c>
      <x:c r="F67" s="10" t="str">
        <x:v>raw_material_warehouse</x:v>
      </x:c>
      <x:c r="G67" s="10" t="str">
        <x:v>原材料仓储</x:v>
      </x:c>
      <x:c r="H67" s="53" t="n">
        <x:v>4674</x:v>
      </x:c>
      <x:c r="I67" s="53" t="n">
        <x:v>-4674</x:v>
      </x:c>
      <x:c r="J67" s="10" t="str">
        <x:v>practicum_reconciled</x:v>
      </x:c>
    </x:row>
    <x:row r="68" ht="15" hidden="0" customHeight="1">
      <x:c r="A68" s="10" t="str">
        <x:v>CF0067</x:v>
      </x:c>
      <x:c r="B68" s="10" t="n">
        <x:v>202301</x:v>
      </x:c>
      <x:c r="C68" s="10" t="n">
        <x:v>44944</x:v>
      </x:c>
      <x:c r="D68" s="10" t="n">
        <x:v>5</x:v>
      </x:c>
      <x:c r="E68" s="10" t="str">
        <x:v>Outflow</x:v>
      </x:c>
      <x:c r="F68" s="10" t="str">
        <x:v>logistics</x:v>
      </x:c>
      <x:c r="G68" s="10" t="str">
        <x:v>物流运输</x:v>
      </x:c>
      <x:c r="H68" s="53" t="n">
        <x:v>22560</x:v>
      </x:c>
      <x:c r="I68" s="53" t="n">
        <x:v>-22560</x:v>
      </x:c>
      <x:c r="J68" s="10" t="str">
        <x:v>practicum_reconciled</x:v>
      </x:c>
    </x:row>
    <x:row r="69" ht="15" hidden="0" customHeight="1">
      <x:c r="A69" s="10" t="str">
        <x:v>CF0068</x:v>
      </x:c>
      <x:c r="B69" s="10" t="n">
        <x:v>202302</x:v>
      </x:c>
      <x:c r="C69" s="10" t="n">
        <x:v>44975</x:v>
      </x:c>
      <x:c r="D69" s="10" t="n">
        <x:v>5</x:v>
      </x:c>
      <x:c r="E69" s="10" t="str">
        <x:v>Outflow</x:v>
      </x:c>
      <x:c r="F69" s="10" t="str">
        <x:v>logistics</x:v>
      </x:c>
      <x:c r="G69" s="10" t="str">
        <x:v>物流运输</x:v>
      </x:c>
      <x:c r="H69" s="53" t="n">
        <x:v>33873</x:v>
      </x:c>
      <x:c r="I69" s="53" t="n">
        <x:v>-33873</x:v>
      </x:c>
      <x:c r="J69" s="10" t="str">
        <x:v>practicum_reconciled</x:v>
      </x:c>
    </x:row>
    <x:row r="70" ht="15" hidden="0" customHeight="1">
      <x:c r="A70" s="10" t="str">
        <x:v>CF0069</x:v>
      </x:c>
      <x:c r="B70" s="10" t="n">
        <x:v>202303</x:v>
      </x:c>
      <x:c r="C70" s="10" t="n">
        <x:v>45003</x:v>
      </x:c>
      <x:c r="D70" s="10" t="n">
        <x:v>5</x:v>
      </x:c>
      <x:c r="E70" s="10" t="str">
        <x:v>Outflow</x:v>
      </x:c>
      <x:c r="F70" s="10" t="str">
        <x:v>logistics</x:v>
      </x:c>
      <x:c r="G70" s="10" t="str">
        <x:v>物流运输</x:v>
      </x:c>
      <x:c r="H70" s="53" t="n">
        <x:v>42567</x:v>
      </x:c>
      <x:c r="I70" s="53" t="n">
        <x:v>-42567</x:v>
      </x:c>
      <x:c r="J70" s="10" t="str">
        <x:v>practicum_reconciled</x:v>
      </x:c>
    </x:row>
    <x:row r="71" ht="15" hidden="0" customHeight="1">
      <x:c r="A71" s="10" t="str">
        <x:v>CF0070</x:v>
      </x:c>
      <x:c r="B71" s="10" t="n">
        <x:v>202301</x:v>
      </x:c>
      <x:c r="C71" s="10" t="n">
        <x:v>44944</x:v>
      </x:c>
      <x:c r="D71" s="10" t="n">
        <x:v>5</x:v>
      </x:c>
      <x:c r="E71" s="10" t="str">
        <x:v>Outflow</x:v>
      </x:c>
      <x:c r="F71" s="10" t="str">
        <x:v>raw_material_purchase</x:v>
      </x:c>
      <x:c r="G71" s="10" t="str">
        <x:v>原材料采购</x:v>
      </x:c>
      <x:c r="H71" s="53" t="n">
        <x:v>434433</x:v>
      </x:c>
      <x:c r="I71" s="53" t="n">
        <x:v>-434433</x:v>
      </x:c>
      <x:c r="J71" s="10" t="str">
        <x:v>practicum_reconciled</x:v>
      </x:c>
    </x:row>
    <x:row r="72" ht="15" hidden="0" customHeight="1">
      <x:c r="A72" s="10" t="str">
        <x:v>CF0071</x:v>
      </x:c>
      <x:c r="B72" s="10" t="n">
        <x:v>202302</x:v>
      </x:c>
      <x:c r="C72" s="10" t="n">
        <x:v>44975</x:v>
      </x:c>
      <x:c r="D72" s="10" t="n">
        <x:v>5</x:v>
      </x:c>
      <x:c r="E72" s="10" t="str">
        <x:v>Outflow</x:v>
      </x:c>
      <x:c r="F72" s="10" t="str">
        <x:v>raw_material_purchase</x:v>
      </x:c>
      <x:c r="G72" s="10" t="str">
        <x:v>原材料采购</x:v>
      </x:c>
      <x:c r="H72" s="53" t="n">
        <x:v>519386</x:v>
      </x:c>
      <x:c r="I72" s="53" t="n">
        <x:v>-519386</x:v>
      </x:c>
      <x:c r="J72" s="10" t="str">
        <x:v>practicum_reconciled</x:v>
      </x:c>
    </x:row>
    <x:row r="73" ht="15" hidden="0" customHeight="1">
      <x:c r="A73" s="10" t="str">
        <x:v>CF0072</x:v>
      </x:c>
      <x:c r="B73" s="10" t="n">
        <x:v>202303</x:v>
      </x:c>
      <x:c r="C73" s="10" t="n">
        <x:v>45003</x:v>
      </x:c>
      <x:c r="D73" s="10" t="n">
        <x:v>5</x:v>
      </x:c>
      <x:c r="E73" s="10" t="str">
        <x:v>Outflow</x:v>
      </x:c>
      <x:c r="F73" s="10" t="str">
        <x:v>raw_material_purchase</x:v>
      </x:c>
      <x:c r="G73" s="10" t="str">
        <x:v>原材料采购</x:v>
      </x:c>
      <x:c r="H73" s="53" t="n">
        <x:v>666181</x:v>
      </x:c>
      <x:c r="I73" s="53" t="n">
        <x:v>-666181</x:v>
      </x:c>
      <x:c r="J73" s="10" t="str">
        <x:v>practicum_reconciled</x:v>
      </x:c>
    </x:row>
    <x:row r="74" ht="15" hidden="0" customHeight="1">
      <x:c r="A74" s="10" t="str">
        <x:v>CF0073</x:v>
      </x:c>
      <x:c r="B74" s="10" t="n">
        <x:v>202304</x:v>
      </x:c>
      <x:c r="C74" s="10" t="n">
        <x:v>45034</x:v>
      </x:c>
      <x:c r="D74" s="10" t="n">
        <x:v>6</x:v>
      </x:c>
      <x:c r="E74" s="10" t="str">
        <x:v>Inflow</x:v>
      </x:c>
      <x:c r="F74" s="10" t="str">
        <x:v>interest_income</x:v>
      </x:c>
      <x:c r="G74" s="10" t="str">
        <x:v>存款利息</x:v>
      </x:c>
      <x:c r="H74" s="53" t="n">
        <x:v>671</x:v>
      </x:c>
      <x:c r="I74" s="53" t="n">
        <x:v>671</x:v>
      </x:c>
      <x:c r="J74" s="10" t="str">
        <x:v>practicum_reconciled</x:v>
      </x:c>
    </x:row>
    <x:row r="75" ht="15" hidden="0" customHeight="1">
      <x:c r="A75" s="10" t="str">
        <x:v>CF0074</x:v>
      </x:c>
      <x:c r="B75" s="10" t="n">
        <x:v>202305</x:v>
      </x:c>
      <x:c r="C75" s="10" t="n">
        <x:v>45064</x:v>
      </x:c>
      <x:c r="D75" s="10" t="n">
        <x:v>6</x:v>
      </x:c>
      <x:c r="E75" s="10" t="str">
        <x:v>Inflow</x:v>
      </x:c>
      <x:c r="F75" s="10" t="str">
        <x:v>interest_income</x:v>
      </x:c>
      <x:c r="G75" s="10" t="str">
        <x:v>存款利息</x:v>
      </x:c>
      <x:c r="H75" s="53" t="n">
        <x:v>766</x:v>
      </x:c>
      <x:c r="I75" s="53" t="n">
        <x:v>766</x:v>
      </x:c>
      <x:c r="J75" s="10" t="str">
        <x:v>practicum_reconciled</x:v>
      </x:c>
    </x:row>
    <x:row r="76" ht="15" hidden="0" customHeight="1">
      <x:c r="A76" s="10" t="str">
        <x:v>CF0075</x:v>
      </x:c>
      <x:c r="B76" s="10" t="n">
        <x:v>202306</x:v>
      </x:c>
      <x:c r="C76" s="10" t="n">
        <x:v>45095</x:v>
      </x:c>
      <x:c r="D76" s="10" t="n">
        <x:v>6</x:v>
      </x:c>
      <x:c r="E76" s="10" t="str">
        <x:v>Inflow</x:v>
      </x:c>
      <x:c r="F76" s="10" t="str">
        <x:v>interest_income</x:v>
      </x:c>
      <x:c r="G76" s="10" t="str">
        <x:v>存款利息</x:v>
      </x:c>
      <x:c r="H76" s="53" t="n">
        <x:v>878</x:v>
      </x:c>
      <x:c r="I76" s="53" t="n">
        <x:v>878</x:v>
      </x:c>
      <x:c r="J76" s="10" t="str">
        <x:v>practicum_reconciled</x:v>
      </x:c>
    </x:row>
    <x:row r="77" ht="15" hidden="0" customHeight="1">
      <x:c r="A77" s="10" t="str">
        <x:v>CF0076</x:v>
      </x:c>
      <x:c r="B77" s="10" t="n">
        <x:v>202304</x:v>
      </x:c>
      <x:c r="C77" s="10" t="n">
        <x:v>45034</x:v>
      </x:c>
      <x:c r="D77" s="10" t="n">
        <x:v>6</x:v>
      </x:c>
      <x:c r="E77" s="10" t="str">
        <x:v>Inflow</x:v>
      </x:c>
      <x:c r="F77" s="10" t="str">
        <x:v>sales_receipts</x:v>
      </x:c>
      <x:c r="G77" s="10" t="str">
        <x:v>销售回款</x:v>
      </x:c>
      <x:c r="H77" s="53" t="n">
        <x:v>380626</x:v>
      </x:c>
      <x:c r="I77" s="53" t="n">
        <x:v>380626</x:v>
      </x:c>
      <x:c r="J77" s="10" t="str">
        <x:v>practicum_reconciled</x:v>
      </x:c>
    </x:row>
    <x:row r="78" ht="15" hidden="0" customHeight="1">
      <x:c r="A78" s="10" t="str">
        <x:v>CF0077</x:v>
      </x:c>
      <x:c r="B78" s="10" t="n">
        <x:v>202305</x:v>
      </x:c>
      <x:c r="C78" s="10" t="n">
        <x:v>45064</x:v>
      </x:c>
      <x:c r="D78" s="10" t="n">
        <x:v>6</x:v>
      </x:c>
      <x:c r="E78" s="10" t="str">
        <x:v>Inflow</x:v>
      </x:c>
      <x:c r="F78" s="10" t="str">
        <x:v>sales_receipts</x:v>
      </x:c>
      <x:c r="G78" s="10" t="str">
        <x:v>销售回款</x:v>
      </x:c>
      <x:c r="H78" s="53" t="n">
        <x:v>425073</x:v>
      </x:c>
      <x:c r="I78" s="53" t="n">
        <x:v>425073</x:v>
      </x:c>
      <x:c r="J78" s="10" t="str">
        <x:v>practicum_reconciled</x:v>
      </x:c>
    </x:row>
    <x:row r="79" ht="15" hidden="0" customHeight="1">
      <x:c r="A79" s="10" t="str">
        <x:v>CF0078</x:v>
      </x:c>
      <x:c r="B79" s="10" t="n">
        <x:v>202306</x:v>
      </x:c>
      <x:c r="C79" s="10" t="n">
        <x:v>45095</x:v>
      </x:c>
      <x:c r="D79" s="10" t="n">
        <x:v>6</x:v>
      </x:c>
      <x:c r="E79" s="10" t="str">
        <x:v>Inflow</x:v>
      </x:c>
      <x:c r="F79" s="10" t="str">
        <x:v>sales_receipts</x:v>
      </x:c>
      <x:c r="G79" s="10" t="str">
        <x:v>销售回款</x:v>
      </x:c>
      <x:c r="H79" s="53" t="n">
        <x:v>491701</x:v>
      </x:c>
      <x:c r="I79" s="53" t="n">
        <x:v>491701</x:v>
      </x:c>
      <x:c r="J79" s="10" t="str">
        <x:v>practicum_reconciled</x:v>
      </x:c>
    </x:row>
    <x:row r="80" ht="15" hidden="0" customHeight="1">
      <x:c r="A80" s="10" t="str">
        <x:v>CF0079</x:v>
      </x:c>
      <x:c r="B80" s="10" t="n">
        <x:v>202304</x:v>
      </x:c>
      <x:c r="C80" s="10" t="n">
        <x:v>45034</x:v>
      </x:c>
      <x:c r="D80" s="10" t="n">
        <x:v>6</x:v>
      </x:c>
      <x:c r="E80" s="10" t="str">
        <x:v>Inflow</x:v>
      </x:c>
      <x:c r="F80" s="10" t="str">
        <x:v>financing_in</x:v>
      </x:c>
      <x:c r="G80" s="10" t="str">
        <x:v>融资及注资</x:v>
      </x:c>
      <x:c r="H80" s="53" t="n">
        <x:v>469092</x:v>
      </x:c>
      <x:c r="I80" s="53" t="n">
        <x:v>469092</x:v>
      </x:c>
      <x:c r="J80" s="10" t="str">
        <x:v>practicum_reconciled</x:v>
      </x:c>
    </x:row>
    <x:row r="81" ht="15" hidden="0" customHeight="1">
      <x:c r="A81" s="10" t="str">
        <x:v>CF0080</x:v>
      </x:c>
      <x:c r="B81" s="10" t="n">
        <x:v>202305</x:v>
      </x:c>
      <x:c r="C81" s="10" t="n">
        <x:v>45064</x:v>
      </x:c>
      <x:c r="D81" s="10" t="n">
        <x:v>6</x:v>
      </x:c>
      <x:c r="E81" s="10" t="str">
        <x:v>Inflow</x:v>
      </x:c>
      <x:c r="F81" s="10" t="str">
        <x:v>financing_in</x:v>
      </x:c>
      <x:c r="G81" s="10" t="str">
        <x:v>融资及注资</x:v>
      </x:c>
      <x:c r="H81" s="53" t="n">
        <x:v>618440</x:v>
      </x:c>
      <x:c r="I81" s="53" t="n">
        <x:v>618440</x:v>
      </x:c>
      <x:c r="J81" s="10" t="str">
        <x:v>practicum_reconciled</x:v>
      </x:c>
    </x:row>
    <x:row r="82" ht="15" hidden="0" customHeight="1">
      <x:c r="A82" s="10" t="str">
        <x:v>CF0081</x:v>
      </x:c>
      <x:c r="B82" s="10" t="n">
        <x:v>202306</x:v>
      </x:c>
      <x:c r="C82" s="10" t="n">
        <x:v>45095</x:v>
      </x:c>
      <x:c r="D82" s="10" t="n">
        <x:v>6</x:v>
      </x:c>
      <x:c r="E82" s="10" t="str">
        <x:v>Inflow</x:v>
      </x:c>
      <x:c r="F82" s="10" t="str">
        <x:v>financing_in</x:v>
      </x:c>
      <x:c r="G82" s="10" t="str">
        <x:v>融资及注资</x:v>
      </x:c>
      <x:c r="H82" s="53" t="n">
        <x:v>912468</x:v>
      </x:c>
      <x:c r="I82" s="53" t="n">
        <x:v>912468</x:v>
      </x:c>
      <x:c r="J82" s="10" t="str">
        <x:v>practicum_reconciled</x:v>
      </x:c>
    </x:row>
    <x:row r="83" ht="15" hidden="0" customHeight="1">
      <x:c r="A83" s="10" t="str">
        <x:v>CF0082</x:v>
      </x:c>
      <x:c r="B83" s="10" t="n">
        <x:v>202304</x:v>
      </x:c>
      <x:c r="C83" s="10" t="n">
        <x:v>45034</x:v>
      </x:c>
      <x:c r="D83" s="10" t="n">
        <x:v>6</x:v>
      </x:c>
      <x:c r="E83" s="10" t="str">
        <x:v>Outflow</x:v>
      </x:c>
      <x:c r="F83" s="10" t="str">
        <x:v>labor_cost</x:v>
      </x:c>
      <x:c r="G83" s="10" t="str">
        <x:v>人员成本</x:v>
      </x:c>
      <x:c r="H83" s="53" t="n">
        <x:v>118115</x:v>
      </x:c>
      <x:c r="I83" s="53" t="n">
        <x:v>-118115</x:v>
      </x:c>
      <x:c r="J83" s="10" t="str">
        <x:v>practicum_reconciled</x:v>
      </x:c>
    </x:row>
    <x:row r="84" ht="15" hidden="0" customHeight="1">
      <x:c r="A84" s="10" t="str">
        <x:v>CF0083</x:v>
      </x:c>
      <x:c r="B84" s="10" t="n">
        <x:v>202305</x:v>
      </x:c>
      <x:c r="C84" s="10" t="n">
        <x:v>45064</x:v>
      </x:c>
      <x:c r="D84" s="10" t="n">
        <x:v>6</x:v>
      </x:c>
      <x:c r="E84" s="10" t="str">
        <x:v>Outflow</x:v>
      </x:c>
      <x:c r="F84" s="10" t="str">
        <x:v>labor_cost</x:v>
      </x:c>
      <x:c r="G84" s="10" t="str">
        <x:v>人员成本</x:v>
      </x:c>
      <x:c r="H84" s="53" t="n">
        <x:v>122173</x:v>
      </x:c>
      <x:c r="I84" s="53" t="n">
        <x:v>-122173</x:v>
      </x:c>
      <x:c r="J84" s="10" t="str">
        <x:v>practicum_reconciled</x:v>
      </x:c>
    </x:row>
    <x:row r="85" ht="15" hidden="0" customHeight="1">
      <x:c r="A85" s="10" t="str">
        <x:v>CF0084</x:v>
      </x:c>
      <x:c r="B85" s="10" t="n">
        <x:v>202306</x:v>
      </x:c>
      <x:c r="C85" s="10" t="n">
        <x:v>45095</x:v>
      </x:c>
      <x:c r="D85" s="10" t="n">
        <x:v>6</x:v>
      </x:c>
      <x:c r="E85" s="10" t="str">
        <x:v>Outflow</x:v>
      </x:c>
      <x:c r="F85" s="10" t="str">
        <x:v>labor_cost</x:v>
      </x:c>
      <x:c r="G85" s="10" t="str">
        <x:v>人员成本</x:v>
      </x:c>
      <x:c r="H85" s="53" t="n">
        <x:v>167712</x:v>
      </x:c>
      <x:c r="I85" s="53" t="n">
        <x:v>-167712</x:v>
      </x:c>
      <x:c r="J85" s="10" t="str">
        <x:v>practicum_reconciled</x:v>
      </x:c>
    </x:row>
    <x:row r="86" ht="15" hidden="0" customHeight="1">
      <x:c r="A86" s="10" t="str">
        <x:v>CF0085</x:v>
      </x:c>
      <x:c r="B86" s="10" t="n">
        <x:v>202304</x:v>
      </x:c>
      <x:c r="C86" s="10" t="n">
        <x:v>45034</x:v>
      </x:c>
      <x:c r="D86" s="10" t="n">
        <x:v>6</x:v>
      </x:c>
      <x:c r="E86" s="10" t="str">
        <x:v>Outflow</x:v>
      </x:c>
      <x:c r="F86" s="10" t="str">
        <x:v>raw_material_warehouse</x:v>
      </x:c>
      <x:c r="G86" s="10" t="str">
        <x:v>原材料仓储</x:v>
      </x:c>
      <x:c r="H86" s="53" t="n">
        <x:v>2555</x:v>
      </x:c>
      <x:c r="I86" s="53" t="n">
        <x:v>-2555</x:v>
      </x:c>
      <x:c r="J86" s="10" t="str">
        <x:v>practicum_reconciled</x:v>
      </x:c>
    </x:row>
    <x:row r="87" ht="15" hidden="0" customHeight="1">
      <x:c r="A87" s="10" t="str">
        <x:v>CF0086</x:v>
      </x:c>
      <x:c r="B87" s="10" t="n">
        <x:v>202305</x:v>
      </x:c>
      <x:c r="C87" s="10" t="n">
        <x:v>45064</x:v>
      </x:c>
      <x:c r="D87" s="10" t="n">
        <x:v>6</x:v>
      </x:c>
      <x:c r="E87" s="10" t="str">
        <x:v>Outflow</x:v>
      </x:c>
      <x:c r="F87" s="10" t="str">
        <x:v>raw_material_warehouse</x:v>
      </x:c>
      <x:c r="G87" s="10" t="str">
        <x:v>原材料仓储</x:v>
      </x:c>
      <x:c r="H87" s="53" t="n">
        <x:v>2511</x:v>
      </x:c>
      <x:c r="I87" s="53" t="n">
        <x:v>-2511</x:v>
      </x:c>
      <x:c r="J87" s="10" t="str">
        <x:v>practicum_reconciled</x:v>
      </x:c>
    </x:row>
    <x:row r="88" ht="15" hidden="0" customHeight="1">
      <x:c r="A88" s="10" t="str">
        <x:v>CF0087</x:v>
      </x:c>
      <x:c r="B88" s="10" t="n">
        <x:v>202306</x:v>
      </x:c>
      <x:c r="C88" s="10" t="n">
        <x:v>45095</x:v>
      </x:c>
      <x:c r="D88" s="10" t="n">
        <x:v>6</x:v>
      </x:c>
      <x:c r="E88" s="10" t="str">
        <x:v>Outflow</x:v>
      </x:c>
      <x:c r="F88" s="10" t="str">
        <x:v>raw_material_warehouse</x:v>
      </x:c>
      <x:c r="G88" s="10" t="str">
        <x:v>原材料仓储</x:v>
      </x:c>
      <x:c r="H88" s="53" t="n">
        <x:v>2934</x:v>
      </x:c>
      <x:c r="I88" s="53" t="n">
        <x:v>-2934</x:v>
      </x:c>
      <x:c r="J88" s="10" t="str">
        <x:v>practicum_reconciled</x:v>
      </x:c>
    </x:row>
    <x:row r="89" ht="15" hidden="0" customHeight="1">
      <x:c r="A89" s="10" t="str">
        <x:v>CF0088</x:v>
      </x:c>
      <x:c r="B89" s="10" t="n">
        <x:v>202304</x:v>
      </x:c>
      <x:c r="C89" s="10" t="n">
        <x:v>45034</x:v>
      </x:c>
      <x:c r="D89" s="10" t="n">
        <x:v>6</x:v>
      </x:c>
      <x:c r="E89" s="10" t="str">
        <x:v>Outflow</x:v>
      </x:c>
      <x:c r="F89" s="10" t="str">
        <x:v>productive_fixed_assets</x:v>
      </x:c>
      <x:c r="G89" s="10" t="str">
        <x:v>生产性固定资产</x:v>
      </x:c>
      <x:c r="H89" s="53" t="n">
        <x:v>540</x:v>
      </x:c>
      <x:c r="I89" s="53" t="n">
        <x:v>-540</x:v>
      </x:c>
      <x:c r="J89" s="10" t="str">
        <x:v>practicum_reconciled</x:v>
      </x:c>
    </x:row>
    <x:row r="90" ht="15" hidden="0" customHeight="1">
      <x:c r="A90" s="10" t="str">
        <x:v>CF0089</x:v>
      </x:c>
      <x:c r="B90" s="10" t="n">
        <x:v>202305</x:v>
      </x:c>
      <x:c r="C90" s="10" t="n">
        <x:v>45064</x:v>
      </x:c>
      <x:c r="D90" s="10" t="n">
        <x:v>6</x:v>
      </x:c>
      <x:c r="E90" s="10" t="str">
        <x:v>Outflow</x:v>
      </x:c>
      <x:c r="F90" s="10" t="str">
        <x:v>productive_fixed_assets</x:v>
      </x:c>
      <x:c r="G90" s="10" t="str">
        <x:v>生产性固定资产</x:v>
      </x:c>
      <x:c r="H90" s="53" t="n">
        <x:v>643</x:v>
      </x:c>
      <x:c r="I90" s="53" t="n">
        <x:v>-643</x:v>
      </x:c>
      <x:c r="J90" s="10" t="str">
        <x:v>practicum_reconciled</x:v>
      </x:c>
    </x:row>
    <x:row r="91" ht="15" hidden="0" customHeight="1">
      <x:c r="A91" s="10" t="str">
        <x:v>CF0090</x:v>
      </x:c>
      <x:c r="B91" s="10" t="n">
        <x:v>202306</x:v>
      </x:c>
      <x:c r="C91" s="10" t="n">
        <x:v>45095</x:v>
      </x:c>
      <x:c r="D91" s="10" t="n">
        <x:v>6</x:v>
      </x:c>
      <x:c r="E91" s="10" t="str">
        <x:v>Outflow</x:v>
      </x:c>
      <x:c r="F91" s="10" t="str">
        <x:v>productive_fixed_assets</x:v>
      </x:c>
      <x:c r="G91" s="10" t="str">
        <x:v>生产性固定资产</x:v>
      </x:c>
      <x:c r="H91" s="53" t="n">
        <x:v>817</x:v>
      </x:c>
      <x:c r="I91" s="53" t="n">
        <x:v>-817</x:v>
      </x:c>
      <x:c r="J91" s="10" t="str">
        <x:v>practicum_reconciled</x:v>
      </x:c>
    </x:row>
    <x:row r="92" ht="15" hidden="0" customHeight="1">
      <x:c r="A92" s="10" t="str">
        <x:v>CF0091</x:v>
      </x:c>
      <x:c r="B92" s="10" t="n">
        <x:v>202304</x:v>
      </x:c>
      <x:c r="C92" s="10" t="n">
        <x:v>45034</x:v>
      </x:c>
      <x:c r="D92" s="10" t="n">
        <x:v>6</x:v>
      </x:c>
      <x:c r="E92" s="10" t="str">
        <x:v>Outflow</x:v>
      </x:c>
      <x:c r="F92" s="10" t="str">
        <x:v>raw_material_purchase</x:v>
      </x:c>
      <x:c r="G92" s="10" t="str">
        <x:v>原材料采购</x:v>
      </x:c>
      <x:c r="H92" s="53" t="n">
        <x:v>759199</x:v>
      </x:c>
      <x:c r="I92" s="53" t="n">
        <x:v>-759199</x:v>
      </x:c>
      <x:c r="J92" s="10" t="str">
        <x:v>practicum_reconciled</x:v>
      </x:c>
    </x:row>
    <x:row r="93" ht="15" hidden="0" customHeight="1">
      <x:c r="A93" s="10" t="str">
        <x:v>CF0092</x:v>
      </x:c>
      <x:c r="B93" s="10" t="n">
        <x:v>202305</x:v>
      </x:c>
      <x:c r="C93" s="10" t="n">
        <x:v>45064</x:v>
      </x:c>
      <x:c r="D93" s="10" t="n">
        <x:v>6</x:v>
      </x:c>
      <x:c r="E93" s="10" t="str">
        <x:v>Outflow</x:v>
      </x:c>
      <x:c r="F93" s="10" t="str">
        <x:v>raw_material_purchase</x:v>
      </x:c>
      <x:c r="G93" s="10" t="str">
        <x:v>原材料采购</x:v>
      </x:c>
      <x:c r="H93" s="53" t="n">
        <x:v>761583</x:v>
      </x:c>
      <x:c r="I93" s="53" t="n">
        <x:v>-761583</x:v>
      </x:c>
      <x:c r="J93" s="10" t="str">
        <x:v>practicum_reconciled</x:v>
      </x:c>
    </x:row>
    <x:row r="94" ht="15" hidden="0" customHeight="1">
      <x:c r="A94" s="10" t="str">
        <x:v>CF0093</x:v>
      </x:c>
      <x:c r="B94" s="10" t="n">
        <x:v>202306</x:v>
      </x:c>
      <x:c r="C94" s="10" t="n">
        <x:v>45095</x:v>
      </x:c>
      <x:c r="D94" s="10" t="n">
        <x:v>6</x:v>
      </x:c>
      <x:c r="E94" s="10" t="str">
        <x:v>Outflow</x:v>
      </x:c>
      <x:c r="F94" s="10" t="str">
        <x:v>raw_material_purchase</x:v>
      </x:c>
      <x:c r="G94" s="10" t="str">
        <x:v>原材料采购</x:v>
      </x:c>
      <x:c r="H94" s="53" t="n">
        <x:v>879218</x:v>
      </x:c>
      <x:c r="I94" s="53" t="n">
        <x:v>-879218</x:v>
      </x:c>
      <x:c r="J94" s="10" t="str">
        <x:v>practicum_reconciled</x:v>
      </x:c>
    </x:row>
    <x:row r="95" ht="15" hidden="0" customHeight="1">
      <x:c r="A95" s="10" t="str">
        <x:v>CF0094</x:v>
      </x:c>
      <x:c r="B95" s="10" t="n">
        <x:v>202304</x:v>
      </x:c>
      <x:c r="C95" s="10" t="n">
        <x:v>45034</x:v>
      </x:c>
      <x:c r="D95" s="10" t="n">
        <x:v>6</x:v>
      </x:c>
      <x:c r="E95" s="10" t="str">
        <x:v>Outflow</x:v>
      </x:c>
      <x:c r="F95" s="10" t="str">
        <x:v>r_and_d</x:v>
      </x:c>
      <x:c r="G95" s="10" t="str">
        <x:v>研发投入</x:v>
      </x:c>
      <x:c r="H95" s="53" t="n">
        <x:v>72955</x:v>
      </x:c>
      <x:c r="I95" s="53" t="n">
        <x:v>-72955</x:v>
      </x:c>
      <x:c r="J95" s="10" t="str">
        <x:v>practicum_reconciled</x:v>
      </x:c>
    </x:row>
    <x:row r="96" ht="15" hidden="0" customHeight="1">
      <x:c r="A96" s="10" t="str">
        <x:v>CF0095</x:v>
      </x:c>
      <x:c r="B96" s="10" t="n">
        <x:v>202305</x:v>
      </x:c>
      <x:c r="C96" s="10" t="n">
        <x:v>45064</x:v>
      </x:c>
      <x:c r="D96" s="10" t="n">
        <x:v>6</x:v>
      </x:c>
      <x:c r="E96" s="10" t="str">
        <x:v>Outflow</x:v>
      </x:c>
      <x:c r="F96" s="10" t="str">
        <x:v>r_and_d</x:v>
      </x:c>
      <x:c r="G96" s="10" t="str">
        <x:v>研发投入</x:v>
      </x:c>
      <x:c r="H96" s="53" t="n">
        <x:v>102017</x:v>
      </x:c>
      <x:c r="I96" s="53" t="n">
        <x:v>-102017</x:v>
      </x:c>
      <x:c r="J96" s="10" t="str">
        <x:v>practicum_reconciled</x:v>
      </x:c>
    </x:row>
    <x:row r="97" ht="15" hidden="0" customHeight="1">
      <x:c r="A97" s="10" t="str">
        <x:v>CF0096</x:v>
      </x:c>
      <x:c r="B97" s="10" t="n">
        <x:v>202306</x:v>
      </x:c>
      <x:c r="C97" s="10" t="n">
        <x:v>45095</x:v>
      </x:c>
      <x:c r="D97" s="10" t="n">
        <x:v>6</x:v>
      </x:c>
      <x:c r="E97" s="10" t="str">
        <x:v>Outflow</x:v>
      </x:c>
      <x:c r="F97" s="10" t="str">
        <x:v>r_and_d</x:v>
      </x:c>
      <x:c r="G97" s="10" t="str">
        <x:v>研发投入</x:v>
      </x:c>
      <x:c r="H97" s="53" t="n">
        <x:v>125028</x:v>
      </x:c>
      <x:c r="I97" s="53" t="n">
        <x:v>-125028</x:v>
      </x:c>
      <x:c r="J97" s="10" t="str">
        <x:v>practicum_reconciled</x:v>
      </x:c>
    </x:row>
    <x:row r="98" ht="15" hidden="0" customHeight="1">
      <x:c r="A98" s="10" t="str">
        <x:v>CF0097</x:v>
      </x:c>
      <x:c r="B98" s="10" t="n">
        <x:v>202307</x:v>
      </x:c>
      <x:c r="C98" s="10" t="n">
        <x:v>45125</x:v>
      </x:c>
      <x:c r="D98" s="10" t="n">
        <x:v>7</x:v>
      </x:c>
      <x:c r="E98" s="10" t="str">
        <x:v>Inflow</x:v>
      </x:c>
      <x:c r="F98" s="10" t="str">
        <x:v>interest_income</x:v>
      </x:c>
      <x:c r="G98" s="10" t="str">
        <x:v>存款利息</x:v>
      </x:c>
      <x:c r="H98" s="53" t="n">
        <x:v>1272</x:v>
      </x:c>
      <x:c r="I98" s="53" t="n">
        <x:v>1272</x:v>
      </x:c>
      <x:c r="J98" s="10" t="str">
        <x:v>practicum_reconciled</x:v>
      </x:c>
    </x:row>
    <x:row r="99" ht="15" hidden="0" customHeight="1">
      <x:c r="A99" s="10" t="str">
        <x:v>CF0098</x:v>
      </x:c>
      <x:c r="B99" s="10" t="n">
        <x:v>202308</x:v>
      </x:c>
      <x:c r="C99" s="10" t="n">
        <x:v>45156</x:v>
      </x:c>
      <x:c r="D99" s="10" t="n">
        <x:v>7</x:v>
      </x:c>
      <x:c r="E99" s="10" t="str">
        <x:v>Inflow</x:v>
      </x:c>
      <x:c r="F99" s="10" t="str">
        <x:v>interest_income</x:v>
      </x:c>
      <x:c r="G99" s="10" t="str">
        <x:v>存款利息</x:v>
      </x:c>
      <x:c r="H99" s="53" t="n">
        <x:v>1493</x:v>
      </x:c>
      <x:c r="I99" s="53" t="n">
        <x:v>1493</x:v>
      </x:c>
      <x:c r="J99" s="10" t="str">
        <x:v>practicum_reconciled</x:v>
      </x:c>
    </x:row>
    <x:row r="100" ht="15" hidden="0" customHeight="1">
      <x:c r="A100" s="10" t="str">
        <x:v>CF0099</x:v>
      </x:c>
      <x:c r="B100" s="10" t="n">
        <x:v>202309</x:v>
      </x:c>
      <x:c r="C100" s="10" t="n">
        <x:v>45187</x:v>
      </x:c>
      <x:c r="D100" s="10" t="n">
        <x:v>7</x:v>
      </x:c>
      <x:c r="E100" s="10" t="str">
        <x:v>Inflow</x:v>
      </x:c>
      <x:c r="F100" s="10" t="str">
        <x:v>interest_income</x:v>
      </x:c>
      <x:c r="G100" s="10" t="str">
        <x:v>存款利息</x:v>
      </x:c>
      <x:c r="H100" s="53" t="n">
        <x:v>2458</x:v>
      </x:c>
      <x:c r="I100" s="53" t="n">
        <x:v>2458</x:v>
      </x:c>
      <x:c r="J100" s="10" t="str">
        <x:v>practicum_reconciled</x:v>
      </x:c>
    </x:row>
    <x:row r="101" ht="15" hidden="0" customHeight="1">
      <x:c r="A101" s="10" t="str">
        <x:v>CF0100</x:v>
      </x:c>
      <x:c r="B101" s="10" t="n">
        <x:v>202307</x:v>
      </x:c>
      <x:c r="C101" s="10" t="n">
        <x:v>45125</x:v>
      </x:c>
      <x:c r="D101" s="10" t="n">
        <x:v>7</x:v>
      </x:c>
      <x:c r="E101" s="10" t="str">
        <x:v>Inflow</x:v>
      </x:c>
      <x:c r="F101" s="10" t="str">
        <x:v>financing_in</x:v>
      </x:c>
      <x:c r="G101" s="10" t="str">
        <x:v>融资及注资</x:v>
      </x:c>
      <x:c r="H101" s="53" t="n">
        <x:v>49135</x:v>
      </x:c>
      <x:c r="I101" s="53" t="n">
        <x:v>49135</x:v>
      </x:c>
      <x:c r="J101" s="10" t="str">
        <x:v>practicum_reconciled</x:v>
      </x:c>
    </x:row>
    <x:row r="102" ht="15" hidden="0" customHeight="1">
      <x:c r="A102" s="10" t="str">
        <x:v>CF0101</x:v>
      </x:c>
      <x:c r="B102" s="10" t="n">
        <x:v>202308</x:v>
      </x:c>
      <x:c r="C102" s="10" t="n">
        <x:v>45156</x:v>
      </x:c>
      <x:c r="D102" s="10" t="n">
        <x:v>7</x:v>
      </x:c>
      <x:c r="E102" s="10" t="str">
        <x:v>Inflow</x:v>
      </x:c>
      <x:c r="F102" s="10" t="str">
        <x:v>financing_in</x:v>
      </x:c>
      <x:c r="G102" s="10" t="str">
        <x:v>融资及注资</x:v>
      </x:c>
      <x:c r="H102" s="53" t="n">
        <x:v>66853</x:v>
      </x:c>
      <x:c r="I102" s="53" t="n">
        <x:v>66853</x:v>
      </x:c>
      <x:c r="J102" s="10" t="str">
        <x:v>practicum_reconciled</x:v>
      </x:c>
    </x:row>
    <x:row r="103" ht="15" hidden="0" customHeight="1">
      <x:c r="A103" s="10" t="str">
        <x:v>CF0102</x:v>
      </x:c>
      <x:c r="B103" s="10" t="n">
        <x:v>202309</x:v>
      </x:c>
      <x:c r="C103" s="10" t="n">
        <x:v>45187</x:v>
      </x:c>
      <x:c r="D103" s="10" t="n">
        <x:v>7</x:v>
      </x:c>
      <x:c r="E103" s="10" t="str">
        <x:v>Inflow</x:v>
      </x:c>
      <x:c r="F103" s="10" t="str">
        <x:v>financing_in</x:v>
      </x:c>
      <x:c r="G103" s="10" t="str">
        <x:v>融资及注资</x:v>
      </x:c>
      <x:c r="H103" s="53" t="n">
        <x:v>84012</x:v>
      </x:c>
      <x:c r="I103" s="53" t="n">
        <x:v>84012</x:v>
      </x:c>
      <x:c r="J103" s="10" t="str">
        <x:v>practicum_reconciled</x:v>
      </x:c>
    </x:row>
    <x:row r="104" ht="15" hidden="0" customHeight="1">
      <x:c r="A104" s="10" t="str">
        <x:v>CF0103</x:v>
      </x:c>
      <x:c r="B104" s="10" t="n">
        <x:v>202307</x:v>
      </x:c>
      <x:c r="C104" s="10" t="n">
        <x:v>45125</x:v>
      </x:c>
      <x:c r="D104" s="10" t="n">
        <x:v>7</x:v>
      </x:c>
      <x:c r="E104" s="10" t="str">
        <x:v>Outflow</x:v>
      </x:c>
      <x:c r="F104" s="10" t="str">
        <x:v>productive_fixed_assets</x:v>
      </x:c>
      <x:c r="G104" s="10" t="str">
        <x:v>生产性固定资产</x:v>
      </x:c>
      <x:c r="H104" s="53" t="n">
        <x:v>135999</x:v>
      </x:c>
      <x:c r="I104" s="53" t="n">
        <x:v>-135999</x:v>
      </x:c>
      <x:c r="J104" s="10" t="str">
        <x:v>practicum_reconciled</x:v>
      </x:c>
    </x:row>
    <x:row r="105" ht="15" hidden="0" customHeight="1">
      <x:c r="A105" s="10" t="str">
        <x:v>CF0104</x:v>
      </x:c>
      <x:c r="B105" s="10" t="n">
        <x:v>202308</x:v>
      </x:c>
      <x:c r="C105" s="10" t="n">
        <x:v>45156</x:v>
      </x:c>
      <x:c r="D105" s="10" t="n">
        <x:v>7</x:v>
      </x:c>
      <x:c r="E105" s="10" t="str">
        <x:v>Outflow</x:v>
      </x:c>
      <x:c r="F105" s="10" t="str">
        <x:v>productive_fixed_assets</x:v>
      </x:c>
      <x:c r="G105" s="10" t="str">
        <x:v>生产性固定资产</x:v>
      </x:c>
      <x:c r="H105" s="53" t="n">
        <x:v>161545</x:v>
      </x:c>
      <x:c r="I105" s="53" t="n">
        <x:v>-161545</x:v>
      </x:c>
      <x:c r="J105" s="10" t="str">
        <x:v>practicum_reconciled</x:v>
      </x:c>
    </x:row>
    <x:row r="106" ht="15" hidden="0" customHeight="1">
      <x:c r="A106" s="10" t="str">
        <x:v>CF0105</x:v>
      </x:c>
      <x:c r="B106" s="10" t="n">
        <x:v>202309</x:v>
      </x:c>
      <x:c r="C106" s="10" t="n">
        <x:v>45187</x:v>
      </x:c>
      <x:c r="D106" s="10" t="n">
        <x:v>7</x:v>
      </x:c>
      <x:c r="E106" s="10" t="str">
        <x:v>Outflow</x:v>
      </x:c>
      <x:c r="F106" s="10" t="str">
        <x:v>productive_fixed_assets</x:v>
      </x:c>
      <x:c r="G106" s="10" t="str">
        <x:v>生产性固定资产</x:v>
      </x:c>
      <x:c r="H106" s="53" t="n">
        <x:v>162456</x:v>
      </x:c>
      <x:c r="I106" s="53" t="n">
        <x:v>-162456</x:v>
      </x:c>
      <x:c r="J106" s="10" t="str">
        <x:v>practicum_reconciled</x:v>
      </x:c>
    </x:row>
    <x:row r="107" ht="15" hidden="0" customHeight="1">
      <x:c r="A107" s="10" t="str">
        <x:v>CF0106</x:v>
      </x:c>
      <x:c r="B107" s="10" t="n">
        <x:v>202307</x:v>
      </x:c>
      <x:c r="C107" s="10" t="n">
        <x:v>45125</x:v>
      </x:c>
      <x:c r="D107" s="10" t="n">
        <x:v>7</x:v>
      </x:c>
      <x:c r="E107" s="10" t="str">
        <x:v>Outflow</x:v>
      </x:c>
      <x:c r="F107" s="10" t="str">
        <x:v>logistics</x:v>
      </x:c>
      <x:c r="G107" s="10" t="str">
        <x:v>物流运输</x:v>
      </x:c>
      <x:c r="H107" s="53" t="n">
        <x:v>2228</x:v>
      </x:c>
      <x:c r="I107" s="53" t="n">
        <x:v>-2228</x:v>
      </x:c>
      <x:c r="J107" s="10" t="str">
        <x:v>practicum_reconciled</x:v>
      </x:c>
    </x:row>
    <x:row r="108" ht="15" hidden="0" customHeight="1">
      <x:c r="A108" s="10" t="str">
        <x:v>CF0107</x:v>
      </x:c>
      <x:c r="B108" s="10" t="n">
        <x:v>202308</x:v>
      </x:c>
      <x:c r="C108" s="10" t="n">
        <x:v>45156</x:v>
      </x:c>
      <x:c r="D108" s="10" t="n">
        <x:v>7</x:v>
      </x:c>
      <x:c r="E108" s="10" t="str">
        <x:v>Outflow</x:v>
      </x:c>
      <x:c r="F108" s="10" t="str">
        <x:v>logistics</x:v>
      </x:c>
      <x:c r="G108" s="10" t="str">
        <x:v>物流运输</x:v>
      </x:c>
      <x:c r="H108" s="53" t="n">
        <x:v>3500</x:v>
      </x:c>
      <x:c r="I108" s="53" t="n">
        <x:v>-3500</x:v>
      </x:c>
      <x:c r="J108" s="10" t="str">
        <x:v>practicum_reconciled</x:v>
      </x:c>
    </x:row>
    <x:row r="109" ht="15" hidden="0" customHeight="1">
      <x:c r="A109" s="10" t="str">
        <x:v>CF0108</x:v>
      </x:c>
      <x:c r="B109" s="10" t="n">
        <x:v>202309</x:v>
      </x:c>
      <x:c r="C109" s="10" t="n">
        <x:v>45187</x:v>
      </x:c>
      <x:c r="D109" s="10" t="n">
        <x:v>7</x:v>
      </x:c>
      <x:c r="E109" s="10" t="str">
        <x:v>Outflow</x:v>
      </x:c>
      <x:c r="F109" s="10" t="str">
        <x:v>logistics</x:v>
      </x:c>
      <x:c r="G109" s="10" t="str">
        <x:v>物流运输</x:v>
      </x:c>
      <x:c r="H109" s="53" t="n">
        <x:v>3272</x:v>
      </x:c>
      <x:c r="I109" s="53" t="n">
        <x:v>-3272</x:v>
      </x:c>
      <x:c r="J109" s="10" t="str">
        <x:v>practicum_reconciled</x:v>
      </x:c>
    </x:row>
    <x:row r="110" ht="15" hidden="0" customHeight="1">
      <x:c r="A110" s="10" t="str">
        <x:v>CF0109</x:v>
      </x:c>
      <x:c r="B110" s="10" t="n">
        <x:v>202310</x:v>
      </x:c>
      <x:c r="C110" s="10" t="n">
        <x:v>45217</x:v>
      </x:c>
      <x:c r="D110" s="10" t="n">
        <x:v>8</x:v>
      </x:c>
      <x:c r="E110" s="10" t="str">
        <x:v>Inflow</x:v>
      </x:c>
      <x:c r="F110" s="10" t="str">
        <x:v>interest_income</x:v>
      </x:c>
      <x:c r="G110" s="10" t="str">
        <x:v>存款利息</x:v>
      </x:c>
      <x:c r="H110" s="53" t="n">
        <x:v>254</x:v>
      </x:c>
      <x:c r="I110" s="53" t="n">
        <x:v>254</x:v>
      </x:c>
      <x:c r="J110" s="10" t="str">
        <x:v>practicum_reconciled</x:v>
      </x:c>
    </x:row>
    <x:row r="111" ht="15" hidden="0" customHeight="1">
      <x:c r="A111" s="10" t="str">
        <x:v>CF0110</x:v>
      </x:c>
      <x:c r="B111" s="10" t="n">
        <x:v>202311</x:v>
      </x:c>
      <x:c r="C111" s="10" t="n">
        <x:v>45248</x:v>
      </x:c>
      <x:c r="D111" s="10" t="n">
        <x:v>8</x:v>
      </x:c>
      <x:c r="E111" s="10" t="str">
        <x:v>Inflow</x:v>
      </x:c>
      <x:c r="F111" s="10" t="str">
        <x:v>interest_income</x:v>
      </x:c>
      <x:c r="G111" s="10" t="str">
        <x:v>存款利息</x:v>
      </x:c>
      <x:c r="H111" s="53" t="n">
        <x:v>367</x:v>
      </x:c>
      <x:c r="I111" s="53" t="n">
        <x:v>367</x:v>
      </x:c>
      <x:c r="J111" s="10" t="str">
        <x:v>practicum_reconciled</x:v>
      </x:c>
    </x:row>
    <x:row r="112" ht="15" hidden="0" customHeight="1">
      <x:c r="A112" s="10" t="str">
        <x:v>CF0111</x:v>
      </x:c>
      <x:c r="B112" s="10" t="n">
        <x:v>202312</x:v>
      </x:c>
      <x:c r="C112" s="10" t="n">
        <x:v>45278</x:v>
      </x:c>
      <x:c r="D112" s="10" t="n">
        <x:v>8</x:v>
      </x:c>
      <x:c r="E112" s="10" t="str">
        <x:v>Inflow</x:v>
      </x:c>
      <x:c r="F112" s="10" t="str">
        <x:v>interest_income</x:v>
      </x:c>
      <x:c r="G112" s="10" t="str">
        <x:v>存款利息</x:v>
      </x:c>
      <x:c r="H112" s="53" t="n">
        <x:v>381</x:v>
      </x:c>
      <x:c r="I112" s="53" t="n">
        <x:v>381</x:v>
      </x:c>
      <x:c r="J112" s="10" t="str">
        <x:v>practicum_reconciled</x:v>
      </x:c>
    </x:row>
    <x:row r="113" ht="15" hidden="0" customHeight="1">
      <x:c r="A113" s="10" t="str">
        <x:v>CF0112</x:v>
      </x:c>
      <x:c r="B113" s="10" t="n">
        <x:v>202310</x:v>
      </x:c>
      <x:c r="C113" s="10" t="n">
        <x:v>45217</x:v>
      </x:c>
      <x:c r="D113" s="10" t="n">
        <x:v>8</x:v>
      </x:c>
      <x:c r="E113" s="10" t="str">
        <x:v>Inflow</x:v>
      </x:c>
      <x:c r="F113" s="10" t="str">
        <x:v>sales_receipts</x:v>
      </x:c>
      <x:c r="G113" s="10" t="str">
        <x:v>销售回款</x:v>
      </x:c>
      <x:c r="H113" s="53" t="n">
        <x:v>676859</x:v>
      </x:c>
      <x:c r="I113" s="53" t="n">
        <x:v>676859</x:v>
      </x:c>
      <x:c r="J113" s="10" t="str">
        <x:v>practicum_reconciled</x:v>
      </x:c>
    </x:row>
    <x:row r="114" ht="15" hidden="0" customHeight="1">
      <x:c r="A114" s="10" t="str">
        <x:v>CF0113</x:v>
      </x:c>
      <x:c r="B114" s="10" t="n">
        <x:v>202311</x:v>
      </x:c>
      <x:c r="C114" s="10" t="n">
        <x:v>45248</x:v>
      </x:c>
      <x:c r="D114" s="10" t="n">
        <x:v>8</x:v>
      </x:c>
      <x:c r="E114" s="10" t="str">
        <x:v>Inflow</x:v>
      </x:c>
      <x:c r="F114" s="10" t="str">
        <x:v>sales_receipts</x:v>
      </x:c>
      <x:c r="G114" s="10" t="str">
        <x:v>销售回款</x:v>
      </x:c>
      <x:c r="H114" s="53" t="n">
        <x:v>829194</x:v>
      </x:c>
      <x:c r="I114" s="53" t="n">
        <x:v>829194</x:v>
      </x:c>
      <x:c r="J114" s="10" t="str">
        <x:v>practicum_reconciled</x:v>
      </x:c>
    </x:row>
    <x:row r="115" ht="15" hidden="0" customHeight="1">
      <x:c r="A115" s="10" t="str">
        <x:v>CF0114</x:v>
      </x:c>
      <x:c r="B115" s="10" t="n">
        <x:v>202312</x:v>
      </x:c>
      <x:c r="C115" s="10" t="n">
        <x:v>45278</x:v>
      </x:c>
      <x:c r="D115" s="10" t="n">
        <x:v>8</x:v>
      </x:c>
      <x:c r="E115" s="10" t="str">
        <x:v>Inflow</x:v>
      </x:c>
      <x:c r="F115" s="10" t="str">
        <x:v>sales_receipts</x:v>
      </x:c>
      <x:c r="G115" s="10" t="str">
        <x:v>销售回款</x:v>
      </x:c>
      <x:c r="H115" s="53" t="n">
        <x:v>943947</x:v>
      </x:c>
      <x:c r="I115" s="53" t="n">
        <x:v>943947</x:v>
      </x:c>
      <x:c r="J115" s="10" t="str">
        <x:v>practicum_reconciled</x:v>
      </x:c>
    </x:row>
    <x:row r="116" ht="15" hidden="0" customHeight="1">
      <x:c r="A116" s="10" t="str">
        <x:v>CF0115</x:v>
      </x:c>
      <x:c r="B116" s="10" t="n">
        <x:v>202310</x:v>
      </x:c>
      <x:c r="C116" s="10" t="n">
        <x:v>45217</x:v>
      </x:c>
      <x:c r="D116" s="10" t="n">
        <x:v>8</x:v>
      </x:c>
      <x:c r="E116" s="10" t="str">
        <x:v>Outflow</x:v>
      </x:c>
      <x:c r="F116" s="10" t="str">
        <x:v>loan_interest_penalty</x:v>
      </x:c>
      <x:c r="G116" s="10" t="str">
        <x:v>贷款利息及罚金</x:v>
      </x:c>
      <x:c r="H116" s="53" t="n">
        <x:v>1077</x:v>
      </x:c>
      <x:c r="I116" s="53" t="n">
        <x:v>-1077</x:v>
      </x:c>
      <x:c r="J116" s="10" t="str">
        <x:v>practicum_reconciled</x:v>
      </x:c>
    </x:row>
    <x:row r="117" ht="15" hidden="0" customHeight="1">
      <x:c r="A117" s="10" t="str">
        <x:v>CF0116</x:v>
      </x:c>
      <x:c r="B117" s="10" t="n">
        <x:v>202311</x:v>
      </x:c>
      <x:c r="C117" s="10" t="n">
        <x:v>45248</x:v>
      </x:c>
      <x:c r="D117" s="10" t="n">
        <x:v>8</x:v>
      </x:c>
      <x:c r="E117" s="10" t="str">
        <x:v>Outflow</x:v>
      </x:c>
      <x:c r="F117" s="10" t="str">
        <x:v>loan_interest_penalty</x:v>
      </x:c>
      <x:c r="G117" s="10" t="str">
        <x:v>贷款利息及罚金</x:v>
      </x:c>
      <x:c r="H117" s="53" t="n">
        <x:v>1366</x:v>
      </x:c>
      <x:c r="I117" s="53" t="n">
        <x:v>-1366</x:v>
      </x:c>
      <x:c r="J117" s="10" t="str">
        <x:v>practicum_reconciled</x:v>
      </x:c>
    </x:row>
    <x:row r="118" ht="15" hidden="0" customHeight="1">
      <x:c r="A118" s="10" t="str">
        <x:v>CF0117</x:v>
      </x:c>
      <x:c r="B118" s="10" t="n">
        <x:v>202312</x:v>
      </x:c>
      <x:c r="C118" s="10" t="n">
        <x:v>45278</x:v>
      </x:c>
      <x:c r="D118" s="10" t="n">
        <x:v>8</x:v>
      </x:c>
      <x:c r="E118" s="10" t="str">
        <x:v>Outflow</x:v>
      </x:c>
      <x:c r="F118" s="10" t="str">
        <x:v>loan_interest_penalty</x:v>
      </x:c>
      <x:c r="G118" s="10" t="str">
        <x:v>贷款利息及罚金</x:v>
      </x:c>
      <x:c r="H118" s="53" t="n">
        <x:v>1557</x:v>
      </x:c>
      <x:c r="I118" s="53" t="n">
        <x:v>-1557</x:v>
      </x:c>
      <x:c r="J118" s="10" t="str">
        <x:v>practicum_reconciled</x:v>
      </x:c>
    </x:row>
    <x:row r="119" ht="15" hidden="0" customHeight="1">
      <x:c r="A119" s="10" t="str">
        <x:v>CF0118</x:v>
      </x:c>
      <x:c r="B119" s="10" t="n">
        <x:v>202310</x:v>
      </x:c>
      <x:c r="C119" s="10" t="n">
        <x:v>45217</x:v>
      </x:c>
      <x:c r="D119" s="10" t="n">
        <x:v>8</x:v>
      </x:c>
      <x:c r="E119" s="10" t="str">
        <x:v>Outflow</x:v>
      </x:c>
      <x:c r="F119" s="10" t="str">
        <x:v>loan_principal_repayment</x:v>
      </x:c>
      <x:c r="G119" s="10" t="str">
        <x:v>偿还贷款本金</x:v>
      </x:c>
      <x:c r="H119" s="53" t="n">
        <x:v>63762</x:v>
      </x:c>
      <x:c r="I119" s="53" t="n">
        <x:v>-63762</x:v>
      </x:c>
      <x:c r="J119" s="10" t="str">
        <x:v>practicum_reconciled</x:v>
      </x:c>
    </x:row>
    <x:row r="120" ht="15" hidden="0" customHeight="1">
      <x:c r="A120" s="10" t="str">
        <x:v>CF0119</x:v>
      </x:c>
      <x:c r="B120" s="10" t="n">
        <x:v>202311</x:v>
      </x:c>
      <x:c r="C120" s="10" t="n">
        <x:v>45248</x:v>
      </x:c>
      <x:c r="D120" s="10" t="n">
        <x:v>8</x:v>
      </x:c>
      <x:c r="E120" s="10" t="str">
        <x:v>Outflow</x:v>
      </x:c>
      <x:c r="F120" s="10" t="str">
        <x:v>loan_principal_repayment</x:v>
      </x:c>
      <x:c r="G120" s="10" t="str">
        <x:v>偿还贷款本金</x:v>
      </x:c>
      <x:c r="H120" s="53" t="n">
        <x:v>61423</x:v>
      </x:c>
      <x:c r="I120" s="53" t="n">
        <x:v>-61423</x:v>
      </x:c>
      <x:c r="J120" s="10" t="str">
        <x:v>practicum_reconciled</x:v>
      </x:c>
    </x:row>
    <x:row r="121" ht="15" hidden="0" customHeight="1">
      <x:c r="A121" s="10" t="str">
        <x:v>CF0120</x:v>
      </x:c>
      <x:c r="B121" s="10" t="n">
        <x:v>202312</x:v>
      </x:c>
      <x:c r="C121" s="10" t="n">
        <x:v>45278</x:v>
      </x:c>
      <x:c r="D121" s="10" t="n">
        <x:v>8</x:v>
      </x:c>
      <x:c r="E121" s="10" t="str">
        <x:v>Outflow</x:v>
      </x:c>
      <x:c r="F121" s="10" t="str">
        <x:v>loan_principal_repayment</x:v>
      </x:c>
      <x:c r="G121" s="10" t="str">
        <x:v>偿还贷款本金</x:v>
      </x:c>
      <x:c r="H121" s="53" t="n">
        <x:v>74815</x:v>
      </x:c>
      <x:c r="I121" s="53" t="n">
        <x:v>-74815</x:v>
      </x:c>
      <x:c r="J121" s="10" t="str">
        <x:v>practicum_reconciled</x:v>
      </x:c>
    </x:row>
    <x:row r="122" ht="15" hidden="0" customHeight="1">
      <x:c r="A122" s="10" t="str">
        <x:v>CF0121</x:v>
      </x:c>
      <x:c r="B122" s="10" t="n">
        <x:v>202310</x:v>
      </x:c>
      <x:c r="C122" s="10" t="n">
        <x:v>45217</x:v>
      </x:c>
      <x:c r="D122" s="10" t="n">
        <x:v>8</x:v>
      </x:c>
      <x:c r="E122" s="10" t="str">
        <x:v>Outflow</x:v>
      </x:c>
      <x:c r="F122" s="10" t="str">
        <x:v>raw_material_purchase</x:v>
      </x:c>
      <x:c r="G122" s="10" t="str">
        <x:v>原材料采购</x:v>
      </x:c>
      <x:c r="H122" s="53" t="n">
        <x:v>663467</x:v>
      </x:c>
      <x:c r="I122" s="53" t="n">
        <x:v>-663467</x:v>
      </x:c>
      <x:c r="J122" s="10" t="str">
        <x:v>practicum_reconciled</x:v>
      </x:c>
    </x:row>
    <x:row r="123" ht="15" hidden="0" customHeight="1">
      <x:c r="A123" s="10" t="str">
        <x:v>CF0122</x:v>
      </x:c>
      <x:c r="B123" s="10" t="n">
        <x:v>202311</x:v>
      </x:c>
      <x:c r="C123" s="10" t="n">
        <x:v>45248</x:v>
      </x:c>
      <x:c r="D123" s="10" t="n">
        <x:v>8</x:v>
      </x:c>
      <x:c r="E123" s="10" t="str">
        <x:v>Outflow</x:v>
      </x:c>
      <x:c r="F123" s="10" t="str">
        <x:v>raw_material_purchase</x:v>
      </x:c>
      <x:c r="G123" s="10" t="str">
        <x:v>原材料采购</x:v>
      </x:c>
      <x:c r="H123" s="53" t="n">
        <x:v>624644</x:v>
      </x:c>
      <x:c r="I123" s="53" t="n">
        <x:v>-624644</x:v>
      </x:c>
      <x:c r="J123" s="10" t="str">
        <x:v>practicum_reconciled</x:v>
      </x:c>
    </x:row>
    <x:row r="124" ht="15" hidden="0" customHeight="1">
      <x:c r="A124" s="10" t="str">
        <x:v>CF0123</x:v>
      </x:c>
      <x:c r="B124" s="10" t="n">
        <x:v>202312</x:v>
      </x:c>
      <x:c r="C124" s="10" t="n">
        <x:v>45278</x:v>
      </x:c>
      <x:c r="D124" s="10" t="n">
        <x:v>8</x:v>
      </x:c>
      <x:c r="E124" s="10" t="str">
        <x:v>Outflow</x:v>
      </x:c>
      <x:c r="F124" s="10" t="str">
        <x:v>raw_material_purchase</x:v>
      </x:c>
      <x:c r="G124" s="10" t="str">
        <x:v>原材料采购</x:v>
      </x:c>
      <x:c r="H124" s="53" t="n">
        <x:v>850289</x:v>
      </x:c>
      <x:c r="I124" s="53" t="n">
        <x:v>-850289</x:v>
      </x:c>
      <x:c r="J124" s="10" t="str">
        <x:v>practicum_reconciled</x:v>
      </x:c>
    </x:row>
    <x:row r="125" ht="15" hidden="0" customHeight="1">
      <x:c r="A125" s="10" t="str">
        <x:v>CF0124</x:v>
      </x:c>
      <x:c r="B125" s="10" t="n">
        <x:v>202310</x:v>
      </x:c>
      <x:c r="C125" s="10" t="n">
        <x:v>45217</x:v>
      </x:c>
      <x:c r="D125" s="10" t="n">
        <x:v>8</x:v>
      </x:c>
      <x:c r="E125" s="10" t="str">
        <x:v>Outflow</x:v>
      </x:c>
      <x:c r="F125" s="10" t="str">
        <x:v>logistics</x:v>
      </x:c>
      <x:c r="G125" s="10" t="str">
        <x:v>物流运输</x:v>
      </x:c>
      <x:c r="H125" s="53" t="n">
        <x:v>2056</x:v>
      </x:c>
      <x:c r="I125" s="53" t="n">
        <x:v>-2056</x:v>
      </x:c>
      <x:c r="J125" s="10" t="str">
        <x:v>practicum_reconciled</x:v>
      </x:c>
    </x:row>
    <x:row r="126" ht="15" hidden="0" customHeight="1">
      <x:c r="A126" s="10" t="str">
        <x:v>CF0125</x:v>
      </x:c>
      <x:c r="B126" s="10" t="n">
        <x:v>202311</x:v>
      </x:c>
      <x:c r="C126" s="10" t="n">
        <x:v>45248</x:v>
      </x:c>
      <x:c r="D126" s="10" t="n">
        <x:v>8</x:v>
      </x:c>
      <x:c r="E126" s="10" t="str">
        <x:v>Outflow</x:v>
      </x:c>
      <x:c r="F126" s="10" t="str">
        <x:v>logistics</x:v>
      </x:c>
      <x:c r="G126" s="10" t="str">
        <x:v>物流运输</x:v>
      </x:c>
      <x:c r="H126" s="53" t="n">
        <x:v>2735</x:v>
      </x:c>
      <x:c r="I126" s="53" t="n">
        <x:v>-2735</x:v>
      </x:c>
      <x:c r="J126" s="10" t="str">
        <x:v>practicum_reconciled</x:v>
      </x:c>
    </x:row>
    <x:row r="127" ht="15" hidden="0" customHeight="1">
      <x:c r="A127" s="10" t="str">
        <x:v>CF0126</x:v>
      </x:c>
      <x:c r="B127" s="10" t="n">
        <x:v>202312</x:v>
      </x:c>
      <x:c r="C127" s="10" t="n">
        <x:v>45278</x:v>
      </x:c>
      <x:c r="D127" s="10" t="n">
        <x:v>8</x:v>
      </x:c>
      <x:c r="E127" s="10" t="str">
        <x:v>Outflow</x:v>
      </x:c>
      <x:c r="F127" s="10" t="str">
        <x:v>logistics</x:v>
      </x:c>
      <x:c r="G127" s="10" t="str">
        <x:v>物流运输</x:v>
      </x:c>
      <x:c r="H127" s="53" t="n">
        <x:v>3459</x:v>
      </x:c>
      <x:c r="I127" s="53" t="n">
        <x:v>-3459</x:v>
      </x:c>
      <x:c r="J127" s="10" t="str">
        <x:v>practicum_reconciled</x:v>
      </x:c>
    </x:row>
    <x:row r="128" ht="15" hidden="0" customHeight="1">
      <x:c r="A128" s="10" t="str">
        <x:v>CF0127</x:v>
      </x:c>
      <x:c r="B128" s="10" t="n">
        <x:v>202401</x:v>
      </x:c>
      <x:c r="C128" s="10" t="n">
        <x:v>45309</x:v>
      </x:c>
      <x:c r="D128" s="10" t="n">
        <x:v>9</x:v>
      </x:c>
      <x:c r="E128" s="10" t="str">
        <x:v>Inflow</x:v>
      </x:c>
      <x:c r="F128" s="10" t="str">
        <x:v>interest_income</x:v>
      </x:c>
      <x:c r="G128" s="10" t="str">
        <x:v>存款利息</x:v>
      </x:c>
      <x:c r="H128" s="53" t="n">
        <x:v>576</x:v>
      </x:c>
      <x:c r="I128" s="53" t="n">
        <x:v>576</x:v>
      </x:c>
      <x:c r="J128" s="10" t="str">
        <x:v>practicum_reconciled</x:v>
      </x:c>
    </x:row>
    <x:row r="129" ht="15" hidden="0" customHeight="1">
      <x:c r="A129" s="10" t="str">
        <x:v>CF0128</x:v>
      </x:c>
      <x:c r="B129" s="10" t="n">
        <x:v>202402</x:v>
      </x:c>
      <x:c r="C129" s="10" t="n">
        <x:v>45340</x:v>
      </x:c>
      <x:c r="D129" s="10" t="n">
        <x:v>9</x:v>
      </x:c>
      <x:c r="E129" s="10" t="str">
        <x:v>Inflow</x:v>
      </x:c>
      <x:c r="F129" s="10" t="str">
        <x:v>interest_income</x:v>
      </x:c>
      <x:c r="G129" s="10" t="str">
        <x:v>存款利息</x:v>
      </x:c>
      <x:c r="H129" s="53" t="n">
        <x:v>1002</x:v>
      </x:c>
      <x:c r="I129" s="53" t="n">
        <x:v>1002</x:v>
      </x:c>
      <x:c r="J129" s="10" t="str">
        <x:v>practicum_reconciled</x:v>
      </x:c>
    </x:row>
    <x:row r="130" ht="15" hidden="0" customHeight="1">
      <x:c r="A130" s="10" t="str">
        <x:v>CF0129</x:v>
      </x:c>
      <x:c r="B130" s="10" t="n">
        <x:v>202403</x:v>
      </x:c>
      <x:c r="C130" s="10" t="n">
        <x:v>45369</x:v>
      </x:c>
      <x:c r="D130" s="10" t="n">
        <x:v>9</x:v>
      </x:c>
      <x:c r="E130" s="10" t="str">
        <x:v>Inflow</x:v>
      </x:c>
      <x:c r="F130" s="10" t="str">
        <x:v>interest_income</x:v>
      </x:c>
      <x:c r="G130" s="10" t="str">
        <x:v>存款利息</x:v>
      </x:c>
      <x:c r="H130" s="53" t="n">
        <x:v>1030</x:v>
      </x:c>
      <x:c r="I130" s="53" t="n">
        <x:v>1030</x:v>
      </x:c>
      <x:c r="J130" s="10" t="str">
        <x:v>practicum_reconciled</x:v>
      </x:c>
    </x:row>
    <x:row r="131" ht="15" hidden="0" customHeight="1">
      <x:c r="A131" s="10" t="str">
        <x:v>CF0130</x:v>
      </x:c>
      <x:c r="B131" s="10" t="n">
        <x:v>202401</x:v>
      </x:c>
      <x:c r="C131" s="10" t="n">
        <x:v>45309</x:v>
      </x:c>
      <x:c r="D131" s="10" t="n">
        <x:v>9</x:v>
      </x:c>
      <x:c r="E131" s="10" t="str">
        <x:v>Inflow</x:v>
      </x:c>
      <x:c r="F131" s="10" t="str">
        <x:v>sales_receipts</x:v>
      </x:c>
      <x:c r="G131" s="10" t="str">
        <x:v>销售回款</x:v>
      </x:c>
      <x:c r="H131" s="53" t="n">
        <x:v>636814</x:v>
      </x:c>
      <x:c r="I131" s="53" t="n">
        <x:v>636814</x:v>
      </x:c>
      <x:c r="J131" s="10" t="str">
        <x:v>practicum_reconciled</x:v>
      </x:c>
    </x:row>
    <x:row r="132" ht="15" hidden="0" customHeight="1">
      <x:c r="A132" s="10" t="str">
        <x:v>CF0131</x:v>
      </x:c>
      <x:c r="B132" s="10" t="n">
        <x:v>202402</x:v>
      </x:c>
      <x:c r="C132" s="10" t="n">
        <x:v>45340</x:v>
      </x:c>
      <x:c r="D132" s="10" t="n">
        <x:v>9</x:v>
      </x:c>
      <x:c r="E132" s="10" t="str">
        <x:v>Inflow</x:v>
      </x:c>
      <x:c r="F132" s="10" t="str">
        <x:v>sales_receipts</x:v>
      </x:c>
      <x:c r="G132" s="10" t="str">
        <x:v>销售回款</x:v>
      </x:c>
      <x:c r="H132" s="53" t="n">
        <x:v>614207</x:v>
      </x:c>
      <x:c r="I132" s="53" t="n">
        <x:v>614207</x:v>
      </x:c>
      <x:c r="J132" s="10" t="str">
        <x:v>practicum_reconciled</x:v>
      </x:c>
    </x:row>
    <x:row r="133" ht="15" hidden="0" customHeight="1">
      <x:c r="A133" s="10" t="str">
        <x:v>CF0132</x:v>
      </x:c>
      <x:c r="B133" s="10" t="n">
        <x:v>202403</x:v>
      </x:c>
      <x:c r="C133" s="10" t="n">
        <x:v>45369</x:v>
      </x:c>
      <x:c r="D133" s="10" t="n">
        <x:v>9</x:v>
      </x:c>
      <x:c r="E133" s="10" t="str">
        <x:v>Inflow</x:v>
      </x:c>
      <x:c r="F133" s="10" t="str">
        <x:v>sales_receipts</x:v>
      </x:c>
      <x:c r="G133" s="10" t="str">
        <x:v>销售回款</x:v>
      </x:c>
      <x:c r="H133" s="53" t="n">
        <x:v>744279</x:v>
      </x:c>
      <x:c r="I133" s="53" t="n">
        <x:v>744279</x:v>
      </x:c>
      <x:c r="J133" s="10" t="str">
        <x:v>practicum_reconciled</x:v>
      </x:c>
    </x:row>
    <x:row r="134" ht="15" hidden="0" customHeight="1">
      <x:c r="A134" s="10" t="str">
        <x:v>CF0133</x:v>
      </x:c>
      <x:c r="B134" s="10" t="n">
        <x:v>202401</x:v>
      </x:c>
      <x:c r="C134" s="10" t="n">
        <x:v>45309</x:v>
      </x:c>
      <x:c r="D134" s="10" t="n">
        <x:v>9</x:v>
      </x:c>
      <x:c r="E134" s="10" t="str">
        <x:v>Outflow</x:v>
      </x:c>
      <x:c r="F134" s="10" t="str">
        <x:v>raw_material_purchase</x:v>
      </x:c>
      <x:c r="G134" s="10" t="str">
        <x:v>原材料采购</x:v>
      </x:c>
      <x:c r="H134" s="53" t="n">
        <x:v>565715</x:v>
      </x:c>
      <x:c r="I134" s="53" t="n">
        <x:v>-565715</x:v>
      </x:c>
      <x:c r="J134" s="10" t="str">
        <x:v>practicum_reconciled</x:v>
      </x:c>
    </x:row>
    <x:row r="135" ht="15" hidden="0" customHeight="1">
      <x:c r="A135" s="10" t="str">
        <x:v>CF0134</x:v>
      </x:c>
      <x:c r="B135" s="10" t="n">
        <x:v>202402</x:v>
      </x:c>
      <x:c r="C135" s="10" t="n">
        <x:v>45340</x:v>
      </x:c>
      <x:c r="D135" s="10" t="n">
        <x:v>9</x:v>
      </x:c>
      <x:c r="E135" s="10" t="str">
        <x:v>Outflow</x:v>
      </x:c>
      <x:c r="F135" s="10" t="str">
        <x:v>raw_material_purchase</x:v>
      </x:c>
      <x:c r="G135" s="10" t="str">
        <x:v>原材料采购</x:v>
      </x:c>
      <x:c r="H135" s="53" t="n">
        <x:v>486232</x:v>
      </x:c>
      <x:c r="I135" s="53" t="n">
        <x:v>-486232</x:v>
      </x:c>
      <x:c r="J135" s="10" t="str">
        <x:v>practicum_reconciled</x:v>
      </x:c>
    </x:row>
    <x:row r="136" ht="15" hidden="0" customHeight="1">
      <x:c r="A136" s="10" t="str">
        <x:v>CF0135</x:v>
      </x:c>
      <x:c r="B136" s="10" t="n">
        <x:v>202403</x:v>
      </x:c>
      <x:c r="C136" s="10" t="n">
        <x:v>45369</x:v>
      </x:c>
      <x:c r="D136" s="10" t="n">
        <x:v>9</x:v>
      </x:c>
      <x:c r="E136" s="10" t="str">
        <x:v>Outflow</x:v>
      </x:c>
      <x:c r="F136" s="10" t="str">
        <x:v>raw_material_purchase</x:v>
      </x:c>
      <x:c r="G136" s="10" t="str">
        <x:v>原材料采购</x:v>
      </x:c>
      <x:c r="H136" s="53" t="n">
        <x:v>748053</x:v>
      </x:c>
      <x:c r="I136" s="53" t="n">
        <x:v>-748053</x:v>
      </x:c>
      <x:c r="J136" s="10" t="str">
        <x:v>practicum_reconciled</x:v>
      </x:c>
    </x:row>
    <x:row r="137" ht="15" hidden="0" customHeight="1">
      <x:c r="A137" s="10" t="str">
        <x:v>CF0136</x:v>
      </x:c>
      <x:c r="B137" s="10" t="n">
        <x:v>202401</x:v>
      </x:c>
      <x:c r="C137" s="10" t="n">
        <x:v>45309</x:v>
      </x:c>
      <x:c r="D137" s="10" t="n">
        <x:v>9</x:v>
      </x:c>
      <x:c r="E137" s="10" t="str">
        <x:v>Outflow</x:v>
      </x:c>
      <x:c r="F137" s="10" t="str">
        <x:v>logistics</x:v>
      </x:c>
      <x:c r="G137" s="10" t="str">
        <x:v>物流运输</x:v>
      </x:c>
      <x:c r="H137" s="53" t="n">
        <x:v>3430</x:v>
      </x:c>
      <x:c r="I137" s="53" t="n">
        <x:v>-3430</x:v>
      </x:c>
      <x:c r="J137" s="10" t="str">
        <x:v>practicum_reconciled</x:v>
      </x:c>
    </x:row>
    <x:row r="138" ht="15" hidden="0" customHeight="1">
      <x:c r="A138" s="10" t="str">
        <x:v>CF0137</x:v>
      </x:c>
      <x:c r="B138" s="10" t="n">
        <x:v>202402</x:v>
      </x:c>
      <x:c r="C138" s="10" t="n">
        <x:v>45340</x:v>
      </x:c>
      <x:c r="D138" s="10" t="n">
        <x:v>9</x:v>
      </x:c>
      <x:c r="E138" s="10" t="str">
        <x:v>Outflow</x:v>
      </x:c>
      <x:c r="F138" s="10" t="str">
        <x:v>logistics</x:v>
      </x:c>
      <x:c r="G138" s="10" t="str">
        <x:v>物流运输</x:v>
      </x:c>
      <x:c r="H138" s="53" t="n">
        <x:v>4626</x:v>
      </x:c>
      <x:c r="I138" s="53" t="n">
        <x:v>-4626</x:v>
      </x:c>
      <x:c r="J138" s="10" t="str">
        <x:v>practicum_reconciled</x:v>
      </x:c>
    </x:row>
    <x:row r="139" ht="15" hidden="0" customHeight="1">
      <x:c r="A139" s="10" t="str">
        <x:v>CF0138</x:v>
      </x:c>
      <x:c r="B139" s="10" t="n">
        <x:v>202403</x:v>
      </x:c>
      <x:c r="C139" s="10" t="n">
        <x:v>45369</x:v>
      </x:c>
      <x:c r="D139" s="10" t="n">
        <x:v>9</x:v>
      </x:c>
      <x:c r="E139" s="10" t="str">
        <x:v>Outflow</x:v>
      </x:c>
      <x:c r="F139" s="10" t="str">
        <x:v>logistics</x:v>
      </x:c>
      <x:c r="G139" s="10" t="str">
        <x:v>物流运输</x:v>
      </x:c>
      <x:c r="H139" s="53" t="n">
        <x:v>5944</x:v>
      </x:c>
      <x:c r="I139" s="53" t="n">
        <x:v>-5944</x:v>
      </x:c>
      <x:c r="J139" s="10" t="str">
        <x:v>practicum_reconciled</x:v>
      </x:c>
    </x:row>
    <x:row r="140" ht="15" hidden="0" customHeight="1">
      <x:c r="A140" s="10" t="str">
        <x:v>CF0139</x:v>
      </x:c>
      <x:c r="B140" s="10" t="n">
        <x:v>202401</x:v>
      </x:c>
      <x:c r="C140" s="10" t="n">
        <x:v>45309</x:v>
      </x:c>
      <x:c r="D140" s="10" t="n">
        <x:v>9</x:v>
      </x:c>
      <x:c r="E140" s="10" t="str">
        <x:v>Outflow</x:v>
      </x:c>
      <x:c r="F140" s="10" t="str">
        <x:v>r_and_d</x:v>
      </x:c>
      <x:c r="G140" s="10" t="str">
        <x:v>研发投入</x:v>
      </x:c>
      <x:c r="H140" s="53" t="n">
        <x:v>79717</x:v>
      </x:c>
      <x:c r="I140" s="53" t="n">
        <x:v>-79717</x:v>
      </x:c>
      <x:c r="J140" s="10" t="str">
        <x:v>practicum_reconciled</x:v>
      </x:c>
    </x:row>
    <x:row r="141" ht="15" hidden="0" customHeight="1">
      <x:c r="A141" s="10" t="str">
        <x:v>CF0140</x:v>
      </x:c>
      <x:c r="B141" s="10" t="n">
        <x:v>202402</x:v>
      </x:c>
      <x:c r="C141" s="10" t="n">
        <x:v>45340</x:v>
      </x:c>
      <x:c r="D141" s="10" t="n">
        <x:v>9</x:v>
      </x:c>
      <x:c r="E141" s="10" t="str">
        <x:v>Outflow</x:v>
      </x:c>
      <x:c r="F141" s="10" t="str">
        <x:v>r_and_d</x:v>
      </x:c>
      <x:c r="G141" s="10" t="str">
        <x:v>研发投入</x:v>
      </x:c>
      <x:c r="H141" s="53" t="n">
        <x:v>93796</x:v>
      </x:c>
      <x:c r="I141" s="53" t="n">
        <x:v>-93796</x:v>
      </x:c>
      <x:c r="J141" s="10" t="str">
        <x:v>practicum_reconciled</x:v>
      </x:c>
    </x:row>
    <x:row r="142" ht="15" hidden="0" customHeight="1">
      <x:c r="A142" s="10" t="str">
        <x:v>CF0141</x:v>
      </x:c>
      <x:c r="B142" s="10" t="n">
        <x:v>202403</x:v>
      </x:c>
      <x:c r="C142" s="10" t="n">
        <x:v>45369</x:v>
      </x:c>
      <x:c r="D142" s="10" t="n">
        <x:v>9</x:v>
      </x:c>
      <x:c r="E142" s="10" t="str">
        <x:v>Outflow</x:v>
      </x:c>
      <x:c r="F142" s="10" t="str">
        <x:v>r_and_d</x:v>
      </x:c>
      <x:c r="G142" s="10" t="str">
        <x:v>研发投入</x:v>
      </x:c>
      <x:c r="H142" s="53" t="n">
        <x:v>126487</x:v>
      </x:c>
      <x:c r="I142" s="53" t="n">
        <x:v>-126487</x:v>
      </x:c>
      <x:c r="J142" s="10" t="str">
        <x:v>practicum_reconciled</x:v>
      </x:c>
    </x:row>
    <x:row r="143" ht="15" hidden="0" customHeight="1">
      <x:c r="A143" s="10" t="str">
        <x:v>CF0142</x:v>
      </x:c>
      <x:c r="B143" s="10" t="n">
        <x:v>202404</x:v>
      </x:c>
      <x:c r="C143" s="10" t="n">
        <x:v>45400</x:v>
      </x:c>
      <x:c r="D143" s="10" t="n">
        <x:v>10</x:v>
      </x:c>
      <x:c r="E143" s="10" t="str">
        <x:v>Inflow</x:v>
      </x:c>
      <x:c r="F143" s="10" t="str">
        <x:v>interest_income</x:v>
      </x:c>
      <x:c r="G143" s="10" t="str">
        <x:v>存款利息</x:v>
      </x:c>
      <x:c r="H143" s="53" t="n">
        <x:v>214</x:v>
      </x:c>
      <x:c r="I143" s="53" t="n">
        <x:v>214</x:v>
      </x:c>
      <x:c r="J143" s="10" t="str">
        <x:v>practicum_reconciled</x:v>
      </x:c>
    </x:row>
    <x:row r="144" ht="15" hidden="0" customHeight="1">
      <x:c r="A144" s="10" t="str">
        <x:v>CF0143</x:v>
      </x:c>
      <x:c r="B144" s="10" t="n">
        <x:v>202405</x:v>
      </x:c>
      <x:c r="C144" s="10" t="n">
        <x:v>45430</x:v>
      </x:c>
      <x:c r="D144" s="10" t="n">
        <x:v>10</x:v>
      </x:c>
      <x:c r="E144" s="10" t="str">
        <x:v>Inflow</x:v>
      </x:c>
      <x:c r="F144" s="10" t="str">
        <x:v>interest_income</x:v>
      </x:c>
      <x:c r="G144" s="10" t="str">
        <x:v>存款利息</x:v>
      </x:c>
      <x:c r="H144" s="53" t="n">
        <x:v>282</x:v>
      </x:c>
      <x:c r="I144" s="53" t="n">
        <x:v>282</x:v>
      </x:c>
      <x:c r="J144" s="10" t="str">
        <x:v>practicum_reconciled</x:v>
      </x:c>
    </x:row>
    <x:row r="145" ht="15" hidden="0" customHeight="1">
      <x:c r="A145" s="10" t="str">
        <x:v>CF0144</x:v>
      </x:c>
      <x:c r="B145" s="10" t="n">
        <x:v>202406</x:v>
      </x:c>
      <x:c r="C145" s="10" t="n">
        <x:v>45461</x:v>
      </x:c>
      <x:c r="D145" s="10" t="n">
        <x:v>10</x:v>
      </x:c>
      <x:c r="E145" s="10" t="str">
        <x:v>Inflow</x:v>
      </x:c>
      <x:c r="F145" s="10" t="str">
        <x:v>interest_income</x:v>
      </x:c>
      <x:c r="G145" s="10" t="str">
        <x:v>存款利息</x:v>
      </x:c>
      <x:c r="H145" s="53" t="n">
        <x:v>255</x:v>
      </x:c>
      <x:c r="I145" s="53" t="n">
        <x:v>255</x:v>
      </x:c>
      <x:c r="J145" s="10" t="str">
        <x:v>practicum_reconciled</x:v>
      </x:c>
    </x:row>
    <x:row r="146" ht="15" hidden="0" customHeight="1">
      <x:c r="A146" s="10" t="str">
        <x:v>CF0145</x:v>
      </x:c>
      <x:c r="B146" s="10" t="n">
        <x:v>202404</x:v>
      </x:c>
      <x:c r="C146" s="10" t="n">
        <x:v>45400</x:v>
      </x:c>
      <x:c r="D146" s="10" t="n">
        <x:v>10</x:v>
      </x:c>
      <x:c r="E146" s="10" t="str">
        <x:v>Inflow</x:v>
      </x:c>
      <x:c r="F146" s="10" t="str">
        <x:v>sales_receipts</x:v>
      </x:c>
      <x:c r="G146" s="10" t="str">
        <x:v>销售回款</x:v>
      </x:c>
      <x:c r="H146" s="53" t="n">
        <x:v>1213115</x:v>
      </x:c>
      <x:c r="I146" s="53" t="n">
        <x:v>1213115</x:v>
      </x:c>
      <x:c r="J146" s="10" t="str">
        <x:v>practicum_reconciled</x:v>
      </x:c>
    </x:row>
    <x:row r="147" ht="15" hidden="0" customHeight="1">
      <x:c r="A147" s="10" t="str">
        <x:v>CF0146</x:v>
      </x:c>
      <x:c r="B147" s="10" t="n">
        <x:v>202405</x:v>
      </x:c>
      <x:c r="C147" s="10" t="n">
        <x:v>45430</x:v>
      </x:c>
      <x:c r="D147" s="10" t="n">
        <x:v>10</x:v>
      </x:c>
      <x:c r="E147" s="10" t="str">
        <x:v>Inflow</x:v>
      </x:c>
      <x:c r="F147" s="10" t="str">
        <x:v>sales_receipts</x:v>
      </x:c>
      <x:c r="G147" s="10" t="str">
        <x:v>销售回款</x:v>
      </x:c>
      <x:c r="H147" s="53" t="n">
        <x:v>1454005</x:v>
      </x:c>
      <x:c r="I147" s="53" t="n">
        <x:v>1454005</x:v>
      </x:c>
      <x:c r="J147" s="10" t="str">
        <x:v>practicum_reconciled</x:v>
      </x:c>
    </x:row>
    <x:row r="148" ht="15" hidden="0" customHeight="1">
      <x:c r="A148" s="10" t="str">
        <x:v>CF0147</x:v>
      </x:c>
      <x:c r="B148" s="10" t="n">
        <x:v>202406</x:v>
      </x:c>
      <x:c r="C148" s="10" t="n">
        <x:v>45461</x:v>
      </x:c>
      <x:c r="D148" s="10" t="n">
        <x:v>10</x:v>
      </x:c>
      <x:c r="E148" s="10" t="str">
        <x:v>Inflow</x:v>
      </x:c>
      <x:c r="F148" s="10" t="str">
        <x:v>sales_receipts</x:v>
      </x:c>
      <x:c r="G148" s="10" t="str">
        <x:v>销售回款</x:v>
      </x:c>
      <x:c r="H148" s="53" t="n">
        <x:v>1832880</x:v>
      </x:c>
      <x:c r="I148" s="53" t="n">
        <x:v>1832880</x:v>
      </x:c>
      <x:c r="J148" s="10" t="str">
        <x:v>practicum_reconciled</x:v>
      </x:c>
    </x:row>
    <x:row r="149" ht="15" hidden="0" customHeight="1">
      <x:c r="A149" s="10" t="str">
        <x:v>CF0148</x:v>
      </x:c>
      <x:c r="B149" s="10" t="n">
        <x:v>202404</x:v>
      </x:c>
      <x:c r="C149" s="10" t="n">
        <x:v>45400</x:v>
      </x:c>
      <x:c r="D149" s="10" t="n">
        <x:v>10</x:v>
      </x:c>
      <x:c r="E149" s="10" t="str">
        <x:v>Outflow</x:v>
      </x:c>
      <x:c r="F149" s="10" t="str">
        <x:v>productive_fixed_assets</x:v>
      </x:c>
      <x:c r="G149" s="10" t="str">
        <x:v>生产性固定资产</x:v>
      </x:c>
      <x:c r="H149" s="53" t="n">
        <x:v>747420</x:v>
      </x:c>
      <x:c r="I149" s="53" t="n">
        <x:v>-747420</x:v>
      </x:c>
      <x:c r="J149" s="10" t="str">
        <x:v>practicum_reconciled</x:v>
      </x:c>
    </x:row>
    <x:row r="150" ht="15" hidden="0" customHeight="1">
      <x:c r="A150" s="10" t="str">
        <x:v>CF0149</x:v>
      </x:c>
      <x:c r="B150" s="10" t="n">
        <x:v>202405</x:v>
      </x:c>
      <x:c r="C150" s="10" t="n">
        <x:v>45430</x:v>
      </x:c>
      <x:c r="D150" s="10" t="n">
        <x:v>10</x:v>
      </x:c>
      <x:c r="E150" s="10" t="str">
        <x:v>Outflow</x:v>
      </x:c>
      <x:c r="F150" s="10" t="str">
        <x:v>productive_fixed_assets</x:v>
      </x:c>
      <x:c r="G150" s="10" t="str">
        <x:v>生产性固定资产</x:v>
      </x:c>
      <x:c r="H150" s="53" t="n">
        <x:v>729508</x:v>
      </x:c>
      <x:c r="I150" s="53" t="n">
        <x:v>-729508</x:v>
      </x:c>
      <x:c r="J150" s="10" t="str">
        <x:v>practicum_reconciled</x:v>
      </x:c>
    </x:row>
    <x:row r="151" ht="15" hidden="0" customHeight="1">
      <x:c r="A151" s="10" t="str">
        <x:v>CF0150</x:v>
      </x:c>
      <x:c r="B151" s="10" t="n">
        <x:v>202406</x:v>
      </x:c>
      <x:c r="C151" s="10" t="n">
        <x:v>45461</x:v>
      </x:c>
      <x:c r="D151" s="10" t="n">
        <x:v>10</x:v>
      </x:c>
      <x:c r="E151" s="10" t="str">
        <x:v>Outflow</x:v>
      </x:c>
      <x:c r="F151" s="10" t="str">
        <x:v>productive_fixed_assets</x:v>
      </x:c>
      <x:c r="G151" s="10" t="str">
        <x:v>生产性固定资产</x:v>
      </x:c>
      <x:c r="H151" s="53" t="n">
        <x:v>923072</x:v>
      </x:c>
      <x:c r="I151" s="53" t="n">
        <x:v>-923072</x:v>
      </x:c>
      <x:c r="J151" s="10" t="str">
        <x:v>practicum_reconciled</x:v>
      </x:c>
    </x:row>
    <x:row r="152" ht="15" hidden="0" customHeight="1">
      <x:c r="A152" s="10" t="str">
        <x:v>CF0151</x:v>
      </x:c>
      <x:c r="B152" s="10" t="n">
        <x:v>202404</x:v>
      </x:c>
      <x:c r="C152" s="10" t="n">
        <x:v>45400</x:v>
      </x:c>
      <x:c r="D152" s="10" t="n">
        <x:v>10</x:v>
      </x:c>
      <x:c r="E152" s="10" t="str">
        <x:v>Outflow</x:v>
      </x:c>
      <x:c r="F152" s="10" t="str">
        <x:v>raw_material_purchase</x:v>
      </x:c>
      <x:c r="G152" s="10" t="str">
        <x:v>原材料采购</x:v>
      </x:c>
      <x:c r="H152" s="53" t="n">
        <x:v>463117</x:v>
      </x:c>
      <x:c r="I152" s="53" t="n">
        <x:v>-463117</x:v>
      </x:c>
      <x:c r="J152" s="10" t="str">
        <x:v>practicum_reconciled</x:v>
      </x:c>
    </x:row>
    <x:row r="153" ht="15" hidden="0" customHeight="1">
      <x:c r="A153" s="10" t="str">
        <x:v>CF0152</x:v>
      </x:c>
      <x:c r="B153" s="10" t="n">
        <x:v>202405</x:v>
      </x:c>
      <x:c r="C153" s="10" t="n">
        <x:v>45430</x:v>
      </x:c>
      <x:c r="D153" s="10" t="n">
        <x:v>10</x:v>
      </x:c>
      <x:c r="E153" s="10" t="str">
        <x:v>Outflow</x:v>
      </x:c>
      <x:c r="F153" s="10" t="str">
        <x:v>raw_material_purchase</x:v>
      </x:c>
      <x:c r="G153" s="10" t="str">
        <x:v>原材料采购</x:v>
      </x:c>
      <x:c r="H153" s="53" t="n">
        <x:v>546363</x:v>
      </x:c>
      <x:c r="I153" s="53" t="n">
        <x:v>-546363</x:v>
      </x:c>
      <x:c r="J153" s="10" t="str">
        <x:v>practicum_reconciled</x:v>
      </x:c>
    </x:row>
    <x:row r="154" ht="15" hidden="0" customHeight="1">
      <x:c r="A154" s="10" t="str">
        <x:v>CF0153</x:v>
      </x:c>
      <x:c r="B154" s="10" t="n">
        <x:v>202406</x:v>
      </x:c>
      <x:c r="C154" s="10" t="n">
        <x:v>45461</x:v>
      </x:c>
      <x:c r="D154" s="10" t="n">
        <x:v>10</x:v>
      </x:c>
      <x:c r="E154" s="10" t="str">
        <x:v>Outflow</x:v>
      </x:c>
      <x:c r="F154" s="10" t="str">
        <x:v>raw_material_purchase</x:v>
      </x:c>
      <x:c r="G154" s="10" t="str">
        <x:v>原材料采购</x:v>
      </x:c>
      <x:c r="H154" s="53" t="n">
        <x:v>790520</x:v>
      </x:c>
      <x:c r="I154" s="53" t="n">
        <x:v>-790520</x:v>
      </x:c>
      <x:c r="J154" s="10" t="str">
        <x:v>practicum_reconciled</x:v>
      </x:c>
    </x:row>
    <x:row r="155" ht="15" hidden="0" customHeight="1">
      <x:c r="A155" s="10" t="str">
        <x:v>CF0154</x:v>
      </x:c>
      <x:c r="B155" s="10" t="n">
        <x:v>202404</x:v>
      </x:c>
      <x:c r="C155" s="10" t="n">
        <x:v>45400</x:v>
      </x:c>
      <x:c r="D155" s="10" t="n">
        <x:v>10</x:v>
      </x:c>
      <x:c r="E155" s="10" t="str">
        <x:v>Outflow</x:v>
      </x:c>
      <x:c r="F155" s="10" t="str">
        <x:v>logistics</x:v>
      </x:c>
      <x:c r="G155" s="10" t="str">
        <x:v>物流运输</x:v>
      </x:c>
      <x:c r="H155" s="53" t="n">
        <x:v>6138</x:v>
      </x:c>
      <x:c r="I155" s="53" t="n">
        <x:v>-6138</x:v>
      </x:c>
      <x:c r="J155" s="10" t="str">
        <x:v>practicum_reconciled</x:v>
      </x:c>
    </x:row>
    <x:row r="156" ht="15" hidden="0" customHeight="1">
      <x:c r="A156" s="10" t="str">
        <x:v>CF0155</x:v>
      </x:c>
      <x:c r="B156" s="10" t="n">
        <x:v>202405</x:v>
      </x:c>
      <x:c r="C156" s="10" t="n">
        <x:v>45430</x:v>
      </x:c>
      <x:c r="D156" s="10" t="n">
        <x:v>10</x:v>
      </x:c>
      <x:c r="E156" s="10" t="str">
        <x:v>Outflow</x:v>
      </x:c>
      <x:c r="F156" s="10" t="str">
        <x:v>logistics</x:v>
      </x:c>
      <x:c r="G156" s="10" t="str">
        <x:v>物流运输</x:v>
      </x:c>
      <x:c r="H156" s="53" t="n">
        <x:v>8398</x:v>
      </x:c>
      <x:c r="I156" s="53" t="n">
        <x:v>-8398</x:v>
      </x:c>
      <x:c r="J156" s="10" t="str">
        <x:v>practicum_reconciled</x:v>
      </x:c>
    </x:row>
    <x:row r="157" ht="15" hidden="0" customHeight="1">
      <x:c r="A157" s="10" t="str">
        <x:v>CF0156</x:v>
      </x:c>
      <x:c r="B157" s="10" t="n">
        <x:v>202406</x:v>
      </x:c>
      <x:c r="C157" s="10" t="n">
        <x:v>45461</x:v>
      </x:c>
      <x:c r="D157" s="10" t="n">
        <x:v>10</x:v>
      </x:c>
      <x:c r="E157" s="10" t="str">
        <x:v>Outflow</x:v>
      </x:c>
      <x:c r="F157" s="10" t="str">
        <x:v>logistics</x:v>
      </x:c>
      <x:c r="G157" s="10" t="str">
        <x:v>物流运输</x:v>
      </x:c>
      <x:c r="H157" s="53" t="n">
        <x:v>9964</x:v>
      </x:c>
      <x:c r="I157" s="53" t="n">
        <x:v>-9964</x:v>
      </x:c>
      <x:c r="J157" s="10" t="str">
        <x:v>practicum_reconciled</x:v>
      </x:c>
    </x:row>
    <x:row r="158" ht="15" hidden="0" customHeight="1">
      <x:c r="A158" s="10" t="str">
        <x:v>CF0157</x:v>
      </x:c>
      <x:c r="B158" s="10" t="n">
        <x:v>202407</x:v>
      </x:c>
      <x:c r="C158" s="10" t="n">
        <x:v>45491</x:v>
      </x:c>
      <x:c r="D158" s="10" t="n">
        <x:v>11</x:v>
      </x:c>
      <x:c r="E158" s="10" t="str">
        <x:v>Inflow</x:v>
      </x:c>
      <x:c r="F158" s="10" t="str">
        <x:v>interest_income</x:v>
      </x:c>
      <x:c r="G158" s="10" t="str">
        <x:v>存款利息</x:v>
      </x:c>
      <x:c r="H158" s="53" t="n">
        <x:v>1144</x:v>
      </x:c>
      <x:c r="I158" s="53" t="n">
        <x:v>1144</x:v>
      </x:c>
      <x:c r="J158" s="10" t="str">
        <x:v>practicum_reconciled</x:v>
      </x:c>
    </x:row>
    <x:row r="159" ht="15" hidden="0" customHeight="1">
      <x:c r="A159" s="10" t="str">
        <x:v>CF0158</x:v>
      </x:c>
      <x:c r="B159" s="10" t="n">
        <x:v>202408</x:v>
      </x:c>
      <x:c r="C159" s="10" t="n">
        <x:v>45522</x:v>
      </x:c>
      <x:c r="D159" s="10" t="n">
        <x:v>11</x:v>
      </x:c>
      <x:c r="E159" s="10" t="str">
        <x:v>Inflow</x:v>
      </x:c>
      <x:c r="F159" s="10" t="str">
        <x:v>interest_income</x:v>
      </x:c>
      <x:c r="G159" s="10" t="str">
        <x:v>存款利息</x:v>
      </x:c>
      <x:c r="H159" s="53" t="n">
        <x:v>2000</x:v>
      </x:c>
      <x:c r="I159" s="53" t="n">
        <x:v>2000</x:v>
      </x:c>
      <x:c r="J159" s="10" t="str">
        <x:v>practicum_reconciled</x:v>
      </x:c>
    </x:row>
    <x:row r="160" ht="15" hidden="0" customHeight="1">
      <x:c r="A160" s="10" t="str">
        <x:v>CF0159</x:v>
      </x:c>
      <x:c r="B160" s="10" t="n">
        <x:v>202409</x:v>
      </x:c>
      <x:c r="C160" s="10" t="n">
        <x:v>45553</x:v>
      </x:c>
      <x:c r="D160" s="10" t="n">
        <x:v>11</x:v>
      </x:c>
      <x:c r="E160" s="10" t="str">
        <x:v>Inflow</x:v>
      </x:c>
      <x:c r="F160" s="10" t="str">
        <x:v>interest_income</x:v>
      </x:c>
      <x:c r="G160" s="10" t="str">
        <x:v>存款利息</x:v>
      </x:c>
      <x:c r="H160" s="53" t="n">
        <x:v>2027</x:v>
      </x:c>
      <x:c r="I160" s="53" t="n">
        <x:v>2027</x:v>
      </x:c>
      <x:c r="J160" s="10" t="str">
        <x:v>practicum_reconciled</x:v>
      </x:c>
    </x:row>
    <x:row r="161" ht="15" hidden="0" customHeight="1">
      <x:c r="A161" s="10" t="str">
        <x:v>CF0160</x:v>
      </x:c>
      <x:c r="B161" s="10" t="n">
        <x:v>202407</x:v>
      </x:c>
      <x:c r="C161" s="10" t="n">
        <x:v>45491</x:v>
      </x:c>
      <x:c r="D161" s="10" t="n">
        <x:v>11</x:v>
      </x:c>
      <x:c r="E161" s="10" t="str">
        <x:v>Inflow</x:v>
      </x:c>
      <x:c r="F161" s="10" t="str">
        <x:v>sales_receipts</x:v>
      </x:c>
      <x:c r="G161" s="10" t="str">
        <x:v>销售回款</x:v>
      </x:c>
      <x:c r="H161" s="53" t="n">
        <x:v>1266745</x:v>
      </x:c>
      <x:c r="I161" s="53" t="n">
        <x:v>1266745</x:v>
      </x:c>
      <x:c r="J161" s="10" t="str">
        <x:v>practicum_reconciled</x:v>
      </x:c>
    </x:row>
    <x:row r="162" ht="15" hidden="0" customHeight="1">
      <x:c r="A162" s="10" t="str">
        <x:v>CF0161</x:v>
      </x:c>
      <x:c r="B162" s="10" t="n">
        <x:v>202408</x:v>
      </x:c>
      <x:c r="C162" s="10" t="n">
        <x:v>45522</x:v>
      </x:c>
      <x:c r="D162" s="10" t="n">
        <x:v>11</x:v>
      </x:c>
      <x:c r="E162" s="10" t="str">
        <x:v>Inflow</x:v>
      </x:c>
      <x:c r="F162" s="10" t="str">
        <x:v>sales_receipts</x:v>
      </x:c>
      <x:c r="G162" s="10" t="str">
        <x:v>销售回款</x:v>
      </x:c>
      <x:c r="H162" s="53" t="n">
        <x:v>1372126</x:v>
      </x:c>
      <x:c r="I162" s="53" t="n">
        <x:v>1372126</x:v>
      </x:c>
      <x:c r="J162" s="10" t="str">
        <x:v>practicum_reconciled</x:v>
      </x:c>
    </x:row>
    <x:row r="163" ht="15" hidden="0" customHeight="1">
      <x:c r="A163" s="10" t="str">
        <x:v>CF0162</x:v>
      </x:c>
      <x:c r="B163" s="10" t="n">
        <x:v>202409</x:v>
      </x:c>
      <x:c r="C163" s="10" t="n">
        <x:v>45553</x:v>
      </x:c>
      <x:c r="D163" s="10" t="n">
        <x:v>11</x:v>
      </x:c>
      <x:c r="E163" s="10" t="str">
        <x:v>Inflow</x:v>
      </x:c>
      <x:c r="F163" s="10" t="str">
        <x:v>sales_receipts</x:v>
      </x:c>
      <x:c r="G163" s="10" t="str">
        <x:v>销售回款</x:v>
      </x:c>
      <x:c r="H163" s="53" t="n">
        <x:v>1648629</x:v>
      </x:c>
      <x:c r="I163" s="53" t="n">
        <x:v>1648629</x:v>
      </x:c>
      <x:c r="J163" s="10" t="str">
        <x:v>practicum_reconciled</x:v>
      </x:c>
    </x:row>
    <x:row r="164" ht="15" hidden="0" customHeight="1">
      <x:c r="A164" s="10" t="str">
        <x:v>CF0163</x:v>
      </x:c>
      <x:c r="B164" s="10" t="n">
        <x:v>202407</x:v>
      </x:c>
      <x:c r="C164" s="10" t="n">
        <x:v>45491</x:v>
      </x:c>
      <x:c r="D164" s="10" t="n">
        <x:v>11</x:v>
      </x:c>
      <x:c r="E164" s="10" t="str">
        <x:v>Outflow</x:v>
      </x:c>
      <x:c r="F164" s="10" t="str">
        <x:v>labor_cost</x:v>
      </x:c>
      <x:c r="G164" s="10" t="str">
        <x:v>人员成本</x:v>
      </x:c>
      <x:c r="H164" s="53" t="n">
        <x:v>6893</x:v>
      </x:c>
      <x:c r="I164" s="53" t="n">
        <x:v>-6893</x:v>
      </x:c>
      <x:c r="J164" s="10" t="str">
        <x:v>practicum_reconciled</x:v>
      </x:c>
    </x:row>
    <x:row r="165" ht="15" hidden="0" customHeight="1">
      <x:c r="A165" s="10" t="str">
        <x:v>CF0164</x:v>
      </x:c>
      <x:c r="B165" s="10" t="n">
        <x:v>202408</x:v>
      </x:c>
      <x:c r="C165" s="10" t="n">
        <x:v>45522</x:v>
      </x:c>
      <x:c r="D165" s="10" t="n">
        <x:v>11</x:v>
      </x:c>
      <x:c r="E165" s="10" t="str">
        <x:v>Outflow</x:v>
      </x:c>
      <x:c r="F165" s="10" t="str">
        <x:v>labor_cost</x:v>
      </x:c>
      <x:c r="G165" s="10" t="str">
        <x:v>人员成本</x:v>
      </x:c>
      <x:c r="H165" s="53" t="n">
        <x:v>9298</x:v>
      </x:c>
      <x:c r="I165" s="53" t="n">
        <x:v>-9298</x:v>
      </x:c>
      <x:c r="J165" s="10" t="str">
        <x:v>practicum_reconciled</x:v>
      </x:c>
    </x:row>
    <x:row r="166" ht="15" hidden="0" customHeight="1">
      <x:c r="A166" s="10" t="str">
        <x:v>CF0165</x:v>
      </x:c>
      <x:c r="B166" s="10" t="n">
        <x:v>202409</x:v>
      </x:c>
      <x:c r="C166" s="10" t="n">
        <x:v>45553</x:v>
      </x:c>
      <x:c r="D166" s="10" t="n">
        <x:v>11</x:v>
      </x:c>
      <x:c r="E166" s="10" t="str">
        <x:v>Outflow</x:v>
      </x:c>
      <x:c r="F166" s="10" t="str">
        <x:v>labor_cost</x:v>
      </x:c>
      <x:c r="G166" s="10" t="str">
        <x:v>人员成本</x:v>
      </x:c>
      <x:c r="H166" s="53" t="n">
        <x:v>9809</x:v>
      </x:c>
      <x:c r="I166" s="53" t="n">
        <x:v>-9809</x:v>
      </x:c>
      <x:c r="J166" s="10" t="str">
        <x:v>practicum_reconciled</x:v>
      </x:c>
    </x:row>
    <x:row r="167" ht="15" hidden="0" customHeight="1">
      <x:c r="A167" s="10" t="str">
        <x:v>CF0166</x:v>
      </x:c>
      <x:c r="B167" s="10" t="n">
        <x:v>202407</x:v>
      </x:c>
      <x:c r="C167" s="10" t="n">
        <x:v>45491</x:v>
      </x:c>
      <x:c r="D167" s="10" t="n">
        <x:v>11</x:v>
      </x:c>
      <x:c r="E167" s="10" t="str">
        <x:v>Outflow</x:v>
      </x:c>
      <x:c r="F167" s="10" t="str">
        <x:v>logistics</x:v>
      </x:c>
      <x:c r="G167" s="10" t="str">
        <x:v>物流运输</x:v>
      </x:c>
      <x:c r="H167" s="53" t="n">
        <x:v>3976</x:v>
      </x:c>
      <x:c r="I167" s="53" t="n">
        <x:v>-3976</x:v>
      </x:c>
      <x:c r="J167" s="10" t="str">
        <x:v>practicum_reconciled</x:v>
      </x:c>
    </x:row>
    <x:row r="168" ht="15" hidden="0" customHeight="1">
      <x:c r="A168" s="10" t="str">
        <x:v>CF0167</x:v>
      </x:c>
      <x:c r="B168" s="10" t="n">
        <x:v>202408</x:v>
      </x:c>
      <x:c r="C168" s="10" t="n">
        <x:v>45522</x:v>
      </x:c>
      <x:c r="D168" s="10" t="n">
        <x:v>11</x:v>
      </x:c>
      <x:c r="E168" s="10" t="str">
        <x:v>Outflow</x:v>
      </x:c>
      <x:c r="F168" s="10" t="str">
        <x:v>logistics</x:v>
      </x:c>
      <x:c r="G168" s="10" t="str">
        <x:v>物流运输</x:v>
      </x:c>
      <x:c r="H168" s="53" t="n">
        <x:v>4287</x:v>
      </x:c>
      <x:c r="I168" s="53" t="n">
        <x:v>-4287</x:v>
      </x:c>
      <x:c r="J168" s="10" t="str">
        <x:v>practicum_reconciled</x:v>
      </x:c>
    </x:row>
    <x:row r="169" ht="15" hidden="0" customHeight="1">
      <x:c r="A169" s="10" t="str">
        <x:v>CF0168</x:v>
      </x:c>
      <x:c r="B169" s="10" t="n">
        <x:v>202409</x:v>
      </x:c>
      <x:c r="C169" s="10" t="n">
        <x:v>45553</x:v>
      </x:c>
      <x:c r="D169" s="10" t="n">
        <x:v>11</x:v>
      </x:c>
      <x:c r="E169" s="10" t="str">
        <x:v>Outflow</x:v>
      </x:c>
      <x:c r="F169" s="10" t="str">
        <x:v>logistics</x:v>
      </x:c>
      <x:c r="G169" s="10" t="str">
        <x:v>物流运输</x:v>
      </x:c>
      <x:c r="H169" s="53" t="n">
        <x:v>5237</x:v>
      </x:c>
      <x:c r="I169" s="53" t="n">
        <x:v>-5237</x:v>
      </x:c>
      <x:c r="J169" s="10" t="str">
        <x:v>practicum_reconciled</x:v>
      </x:c>
    </x:row>
    <x:row r="170" ht="15" hidden="0" customHeight="1">
      <x:c r="A170" s="10" t="str">
        <x:v>CF0169</x:v>
      </x:c>
      <x:c r="B170" s="10" t="n">
        <x:v>202407</x:v>
      </x:c>
      <x:c r="C170" s="10" t="n">
        <x:v>45491</x:v>
      </x:c>
      <x:c r="D170" s="10" t="n">
        <x:v>11</x:v>
      </x:c>
      <x:c r="E170" s="10" t="str">
        <x:v>Outflow</x:v>
      </x:c>
      <x:c r="F170" s="10" t="str">
        <x:v>loan_principal_repayment</x:v>
      </x:c>
      <x:c r="G170" s="10" t="str">
        <x:v>偿还贷款本金</x:v>
      </x:c>
      <x:c r="H170" s="53" t="n">
        <x:v>474605</x:v>
      </x:c>
      <x:c r="I170" s="53" t="n">
        <x:v>-474605</x:v>
      </x:c>
      <x:c r="J170" s="10" t="str">
        <x:v>practicum_reconciled</x:v>
      </x:c>
    </x:row>
    <x:row r="171" ht="15" hidden="0" customHeight="1">
      <x:c r="A171" s="10" t="str">
        <x:v>CF0170</x:v>
      </x:c>
      <x:c r="B171" s="10" t="n">
        <x:v>202408</x:v>
      </x:c>
      <x:c r="C171" s="10" t="n">
        <x:v>45522</x:v>
      </x:c>
      <x:c r="D171" s="10" t="n">
        <x:v>11</x:v>
      </x:c>
      <x:c r="E171" s="10" t="str">
        <x:v>Outflow</x:v>
      </x:c>
      <x:c r="F171" s="10" t="str">
        <x:v>loan_principal_repayment</x:v>
      </x:c>
      <x:c r="G171" s="10" t="str">
        <x:v>偿还贷款本金</x:v>
      </x:c>
      <x:c r="H171" s="53" t="n">
        <x:v>666864</x:v>
      </x:c>
      <x:c r="I171" s="53" t="n">
        <x:v>-666864</x:v>
      </x:c>
      <x:c r="J171" s="10" t="str">
        <x:v>practicum_reconciled</x:v>
      </x:c>
    </x:row>
    <x:row r="172" ht="15" hidden="0" customHeight="1">
      <x:c r="A172" s="10" t="str">
        <x:v>CF0171</x:v>
      </x:c>
      <x:c r="B172" s="10" t="n">
        <x:v>202409</x:v>
      </x:c>
      <x:c r="C172" s="10" t="n">
        <x:v>45553</x:v>
      </x:c>
      <x:c r="D172" s="10" t="n">
        <x:v>11</x:v>
      </x:c>
      <x:c r="E172" s="10" t="str">
        <x:v>Outflow</x:v>
      </x:c>
      <x:c r="F172" s="10" t="str">
        <x:v>loan_principal_repayment</x:v>
      </x:c>
      <x:c r="G172" s="10" t="str">
        <x:v>偿还贷款本金</x:v>
      </x:c>
      <x:c r="H172" s="53" t="n">
        <x:v>858531</x:v>
      </x:c>
      <x:c r="I172" s="53" t="n">
        <x:v>-858531</x:v>
      </x:c>
      <x:c r="J172" s="10" t="str">
        <x:v>practicum_reconciled</x:v>
      </x:c>
    </x:row>
    <x:row r="173" ht="15" hidden="0" customHeight="1">
      <x:c r="A173" s="10" t="str">
        <x:v>CF0172</x:v>
      </x:c>
      <x:c r="B173" s="10" t="n">
        <x:v>202407</x:v>
      </x:c>
      <x:c r="C173" s="10" t="n">
        <x:v>45491</x:v>
      </x:c>
      <x:c r="D173" s="10" t="n">
        <x:v>11</x:v>
      </x:c>
      <x:c r="E173" s="10" t="str">
        <x:v>Outflow</x:v>
      </x:c>
      <x:c r="F173" s="10" t="str">
        <x:v>raw_material_purchase</x:v>
      </x:c>
      <x:c r="G173" s="10" t="str">
        <x:v>原材料采购</x:v>
      </x:c>
      <x:c r="H173" s="53" t="n">
        <x:v>599288</x:v>
      </x:c>
      <x:c r="I173" s="53" t="n">
        <x:v>-599288</x:v>
      </x:c>
      <x:c r="J173" s="10" t="str">
        <x:v>practicum_reconciled</x:v>
      </x:c>
    </x:row>
    <x:row r="174" ht="15" hidden="0" customHeight="1">
      <x:c r="A174" s="10" t="str">
        <x:v>CF0173</x:v>
      </x:c>
      <x:c r="B174" s="10" t="n">
        <x:v>202408</x:v>
      </x:c>
      <x:c r="C174" s="10" t="n">
        <x:v>45522</x:v>
      </x:c>
      <x:c r="D174" s="10" t="n">
        <x:v>11</x:v>
      </x:c>
      <x:c r="E174" s="10" t="str">
        <x:v>Outflow</x:v>
      </x:c>
      <x:c r="F174" s="10" t="str">
        <x:v>raw_material_purchase</x:v>
      </x:c>
      <x:c r="G174" s="10" t="str">
        <x:v>原材料采购</x:v>
      </x:c>
      <x:c r="H174" s="53" t="n">
        <x:v>874629</x:v>
      </x:c>
      <x:c r="I174" s="53" t="n">
        <x:v>-874629</x:v>
      </x:c>
      <x:c r="J174" s="10" t="str">
        <x:v>practicum_reconciled</x:v>
      </x:c>
    </x:row>
    <x:row r="175" ht="15" hidden="0" customHeight="1">
      <x:c r="A175" s="10" t="str">
        <x:v>CF0174</x:v>
      </x:c>
      <x:c r="B175" s="10" t="n">
        <x:v>202409</x:v>
      </x:c>
      <x:c r="C175" s="10" t="n">
        <x:v>45553</x:v>
      </x:c>
      <x:c r="D175" s="10" t="n">
        <x:v>11</x:v>
      </x:c>
      <x:c r="E175" s="10" t="str">
        <x:v>Outflow</x:v>
      </x:c>
      <x:c r="F175" s="10" t="str">
        <x:v>raw_material_purchase</x:v>
      </x:c>
      <x:c r="G175" s="10" t="str">
        <x:v>原材料采购</x:v>
      </x:c>
      <x:c r="H175" s="53" t="n">
        <x:v>926083</x:v>
      </x:c>
      <x:c r="I175" s="53" t="n">
        <x:v>-926083</x:v>
      </x:c>
      <x:c r="J175" s="10" t="str">
        <x:v>practicum_reconciled</x:v>
      </x:c>
    </x:row>
    <x:row r="176" ht="15" hidden="0" customHeight="1">
      <x:c r="A176" s="10" t="str">
        <x:v>CF0175</x:v>
      </x:c>
      <x:c r="B176" s="10" t="n">
        <x:v>202407</x:v>
      </x:c>
      <x:c r="C176" s="10" t="n">
        <x:v>45491</x:v>
      </x:c>
      <x:c r="D176" s="10" t="n">
        <x:v>11</x:v>
      </x:c>
      <x:c r="E176" s="10" t="str">
        <x:v>Outflow</x:v>
      </x:c>
      <x:c r="F176" s="10" t="str">
        <x:v>loan_interest_penalty</x:v>
      </x:c>
      <x:c r="G176" s="10" t="str">
        <x:v>贷款利息及罚金</x:v>
      </x:c>
      <x:c r="H176" s="53" t="n">
        <x:v>21113</x:v>
      </x:c>
      <x:c r="I176" s="53" t="n">
        <x:v>-21113</x:v>
      </x:c>
      <x:c r="J176" s="10" t="str">
        <x:v>practicum_reconciled</x:v>
      </x:c>
    </x:row>
    <x:row r="177" ht="15" hidden="0" customHeight="1">
      <x:c r="A177" s="10" t="str">
        <x:v>CF0176</x:v>
      </x:c>
      <x:c r="B177" s="10" t="n">
        <x:v>202408</x:v>
      </x:c>
      <x:c r="C177" s="10" t="n">
        <x:v>45522</x:v>
      </x:c>
      <x:c r="D177" s="10" t="n">
        <x:v>11</x:v>
      </x:c>
      <x:c r="E177" s="10" t="str">
        <x:v>Outflow</x:v>
      </x:c>
      <x:c r="F177" s="10" t="str">
        <x:v>loan_interest_penalty</x:v>
      </x:c>
      <x:c r="G177" s="10" t="str">
        <x:v>贷款利息及罚金</x:v>
      </x:c>
      <x:c r="H177" s="53" t="n">
        <x:v>25700</x:v>
      </x:c>
      <x:c r="I177" s="53" t="n">
        <x:v>-25700</x:v>
      </x:c>
      <x:c r="J177" s="10" t="str">
        <x:v>practicum_reconciled</x:v>
      </x:c>
    </x:row>
    <x:row r="178" ht="15" hidden="0" customHeight="1">
      <x:c r="A178" s="10" t="str">
        <x:v>CF0177</x:v>
      </x:c>
      <x:c r="B178" s="10" t="n">
        <x:v>202409</x:v>
      </x:c>
      <x:c r="C178" s="10" t="n">
        <x:v>45553</x:v>
      </x:c>
      <x:c r="D178" s="10" t="n">
        <x:v>11</x:v>
      </x:c>
      <x:c r="E178" s="10" t="str">
        <x:v>Outflow</x:v>
      </x:c>
      <x:c r="F178" s="10" t="str">
        <x:v>loan_interest_penalty</x:v>
      </x:c>
      <x:c r="G178" s="10" t="str">
        <x:v>贷款利息及罚金</x:v>
      </x:c>
      <x:c r="H178" s="53" t="n">
        <x:v>29187</x:v>
      </x:c>
      <x:c r="I178" s="53" t="n">
        <x:v>-29187</x:v>
      </x:c>
      <x:c r="J178" s="10" t="str">
        <x:v>practicum_reconciled</x:v>
      </x:c>
    </x:row>
    <x:row r="179" ht="15" hidden="0" customHeight="1">
      <x:c r="A179" s="10" t="str">
        <x:v>CF0178</x:v>
      </x:c>
      <x:c r="B179" s="10" t="n">
        <x:v>202410</x:v>
      </x:c>
      <x:c r="C179" s="10" t="n">
        <x:v>45583</x:v>
      </x:c>
      <x:c r="D179" s="10" t="n">
        <x:v>12</x:v>
      </x:c>
      <x:c r="E179" s="10" t="str">
        <x:v>Inflow</x:v>
      </x:c>
      <x:c r="F179" s="10" t="str">
        <x:v>interest_income</x:v>
      </x:c>
      <x:c r="G179" s="10" t="str">
        <x:v>存款利息</x:v>
      </x:c>
      <x:c r="H179" s="53" t="n">
        <x:v>494</x:v>
      </x:c>
      <x:c r="I179" s="53" t="n">
        <x:v>494</x:v>
      </x:c>
      <x:c r="J179" s="10" t="str">
        <x:v>practicum_reconciled</x:v>
      </x:c>
    </x:row>
    <x:row r="180" ht="15" hidden="0" customHeight="1">
      <x:c r="A180" s="10" t="str">
        <x:v>CF0179</x:v>
      </x:c>
      <x:c r="B180" s="10" t="n">
        <x:v>202411</x:v>
      </x:c>
      <x:c r="C180" s="10" t="n">
        <x:v>45614</x:v>
      </x:c>
      <x:c r="D180" s="10" t="n">
        <x:v>12</x:v>
      </x:c>
      <x:c r="E180" s="10" t="str">
        <x:v>Inflow</x:v>
      </x:c>
      <x:c r="F180" s="10" t="str">
        <x:v>interest_income</x:v>
      </x:c>
      <x:c r="G180" s="10" t="str">
        <x:v>存款利息</x:v>
      </x:c>
      <x:c r="H180" s="53" t="n">
        <x:v>479</x:v>
      </x:c>
      <x:c r="I180" s="53" t="n">
        <x:v>479</x:v>
      </x:c>
      <x:c r="J180" s="10" t="str">
        <x:v>practicum_reconciled</x:v>
      </x:c>
    </x:row>
    <x:row r="181" ht="15" hidden="0" customHeight="1">
      <x:c r="A181" s="10" t="str">
        <x:v>CF0180</x:v>
      </x:c>
      <x:c r="B181" s="10" t="n">
        <x:v>202412</x:v>
      </x:c>
      <x:c r="C181" s="10" t="n">
        <x:v>45644</x:v>
      </x:c>
      <x:c r="D181" s="10" t="n">
        <x:v>12</x:v>
      </x:c>
      <x:c r="E181" s="10" t="str">
        <x:v>Inflow</x:v>
      </x:c>
      <x:c r="F181" s="10" t="str">
        <x:v>interest_income</x:v>
      </x:c>
      <x:c r="G181" s="10" t="str">
        <x:v>存款利息</x:v>
      </x:c>
      <x:c r="H181" s="53" t="n">
        <x:v>632</x:v>
      </x:c>
      <x:c r="I181" s="53" t="n">
        <x:v>632</x:v>
      </x:c>
      <x:c r="J181" s="10" t="str">
        <x:v>practicum_reconciled</x:v>
      </x:c>
    </x:row>
    <x:row r="182" ht="15" hidden="0" customHeight="1">
      <x:c r="A182" s="10" t="str">
        <x:v>CF0181</x:v>
      </x:c>
      <x:c r="B182" s="10" t="n">
        <x:v>202410</x:v>
      </x:c>
      <x:c r="C182" s="10" t="n">
        <x:v>45583</x:v>
      </x:c>
      <x:c r="D182" s="10" t="n">
        <x:v>12</x:v>
      </x:c>
      <x:c r="E182" s="10" t="str">
        <x:v>Inflow</x:v>
      </x:c>
      <x:c r="F182" s="10" t="str">
        <x:v>sales_receipts</x:v>
      </x:c>
      <x:c r="G182" s="10" t="str">
        <x:v>销售回款</x:v>
      </x:c>
      <x:c r="H182" s="53" t="n">
        <x:v>1059989</x:v>
      </x:c>
      <x:c r="I182" s="53" t="n">
        <x:v>1059989</x:v>
      </x:c>
      <x:c r="J182" s="10" t="str">
        <x:v>practicum_reconciled</x:v>
      </x:c>
    </x:row>
    <x:row r="183" ht="15" hidden="0" customHeight="1">
      <x:c r="A183" s="10" t="str">
        <x:v>CF0182</x:v>
      </x:c>
      <x:c r="B183" s="10" t="n">
        <x:v>202411</x:v>
      </x:c>
      <x:c r="C183" s="10" t="n">
        <x:v>45614</x:v>
      </x:c>
      <x:c r="D183" s="10" t="n">
        <x:v>12</x:v>
      </x:c>
      <x:c r="E183" s="10" t="str">
        <x:v>Inflow</x:v>
      </x:c>
      <x:c r="F183" s="10" t="str">
        <x:v>sales_receipts</x:v>
      </x:c>
      <x:c r="G183" s="10" t="str">
        <x:v>销售回款</x:v>
      </x:c>
      <x:c r="H183" s="53" t="n">
        <x:v>1140225</x:v>
      </x:c>
      <x:c r="I183" s="53" t="n">
        <x:v>1140225</x:v>
      </x:c>
      <x:c r="J183" s="10" t="str">
        <x:v>practicum_reconciled</x:v>
      </x:c>
    </x:row>
    <x:row r="184" ht="15" hidden="0" customHeight="1">
      <x:c r="A184" s="10" t="str">
        <x:v>CF0183</x:v>
      </x:c>
      <x:c r="B184" s="10" t="n">
        <x:v>202412</x:v>
      </x:c>
      <x:c r="C184" s="10" t="n">
        <x:v>45644</x:v>
      </x:c>
      <x:c r="D184" s="10" t="n">
        <x:v>12</x:v>
      </x:c>
      <x:c r="E184" s="10" t="str">
        <x:v>Inflow</x:v>
      </x:c>
      <x:c r="F184" s="10" t="str">
        <x:v>sales_receipts</x:v>
      </x:c>
      <x:c r="G184" s="10" t="str">
        <x:v>销售回款</x:v>
      </x:c>
      <x:c r="H184" s="53" t="n">
        <x:v>1474786</x:v>
      </x:c>
      <x:c r="I184" s="53" t="n">
        <x:v>1474786</x:v>
      </x:c>
      <x:c r="J184" s="10" t="str">
        <x:v>practicum_reconciled</x:v>
      </x:c>
    </x:row>
    <x:row r="185" ht="15" hidden="0" customHeight="1">
      <x:c r="A185" s="10" t="str">
        <x:v>CF0184</x:v>
      </x:c>
      <x:c r="B185" s="10" t="n">
        <x:v>202410</x:v>
      </x:c>
      <x:c r="C185" s="10" t="n">
        <x:v>45583</x:v>
      </x:c>
      <x:c r="D185" s="10" t="n">
        <x:v>12</x:v>
      </x:c>
      <x:c r="E185" s="10" t="str">
        <x:v>Outflow</x:v>
      </x:c>
      <x:c r="F185" s="10" t="str">
        <x:v>productive_fixed_assets</x:v>
      </x:c>
      <x:c r="G185" s="10" t="str">
        <x:v>生产性固定资产</x:v>
      </x:c>
      <x:c r="H185" s="53" t="n">
        <x:v>184286</x:v>
      </x:c>
      <x:c r="I185" s="53" t="n">
        <x:v>-184286</x:v>
      </x:c>
      <x:c r="J185" s="10" t="str">
        <x:v>practicum_reconciled</x:v>
      </x:c>
    </x:row>
    <x:row r="186" ht="15" hidden="0" customHeight="1">
      <x:c r="A186" s="10" t="str">
        <x:v>CF0185</x:v>
      </x:c>
      <x:c r="B186" s="10" t="n">
        <x:v>202411</x:v>
      </x:c>
      <x:c r="C186" s="10" t="n">
        <x:v>45614</x:v>
      </x:c>
      <x:c r="D186" s="10" t="n">
        <x:v>12</x:v>
      </x:c>
      <x:c r="E186" s="10" t="str">
        <x:v>Outflow</x:v>
      </x:c>
      <x:c r="F186" s="10" t="str">
        <x:v>productive_fixed_assets</x:v>
      </x:c>
      <x:c r="G186" s="10" t="str">
        <x:v>生产性固定资产</x:v>
      </x:c>
      <x:c r="H186" s="53" t="n">
        <x:v>183911</x:v>
      </x:c>
      <x:c r="I186" s="53" t="n">
        <x:v>-183911</x:v>
      </x:c>
      <x:c r="J186" s="10" t="str">
        <x:v>practicum_reconciled</x:v>
      </x:c>
    </x:row>
    <x:row r="187" ht="15" hidden="0" customHeight="1">
      <x:c r="A187" s="10" t="str">
        <x:v>CF0186</x:v>
      </x:c>
      <x:c r="B187" s="10" t="n">
        <x:v>202412</x:v>
      </x:c>
      <x:c r="C187" s="10" t="n">
        <x:v>45644</x:v>
      </x:c>
      <x:c r="D187" s="10" t="n">
        <x:v>12</x:v>
      </x:c>
      <x:c r="E187" s="10" t="str">
        <x:v>Outflow</x:v>
      </x:c>
      <x:c r="F187" s="10" t="str">
        <x:v>productive_fixed_assets</x:v>
      </x:c>
      <x:c r="G187" s="10" t="str">
        <x:v>生产性固定资产</x:v>
      </x:c>
      <x:c r="H187" s="53" t="n">
        <x:v>231803</x:v>
      </x:c>
      <x:c r="I187" s="53" t="n">
        <x:v>-231803</x:v>
      </x:c>
      <x:c r="J187" s="10" t="str">
        <x:v>practicum_reconciled</x:v>
      </x:c>
    </x:row>
    <x:row r="188" ht="15" hidden="0" customHeight="1">
      <x:c r="A188" s="10" t="str">
        <x:v>CF0187</x:v>
      </x:c>
      <x:c r="B188" s="10" t="n">
        <x:v>202410</x:v>
      </x:c>
      <x:c r="C188" s="10" t="n">
        <x:v>45583</x:v>
      </x:c>
      <x:c r="D188" s="10" t="n">
        <x:v>12</x:v>
      </x:c>
      <x:c r="E188" s="10" t="str">
        <x:v>Outflow</x:v>
      </x:c>
      <x:c r="F188" s="10" t="str">
        <x:v>labor_cost</x:v>
      </x:c>
      <x:c r="G188" s="10" t="str">
        <x:v>人员成本</x:v>
      </x:c>
      <x:c r="H188" s="53" t="n">
        <x:v>21720</x:v>
      </x:c>
      <x:c r="I188" s="53" t="n">
        <x:v>-21720</x:v>
      </x:c>
      <x:c r="J188" s="10" t="str">
        <x:v>practicum_reconciled</x:v>
      </x:c>
    </x:row>
    <x:row r="189" ht="15" hidden="0" customHeight="1">
      <x:c r="A189" s="10" t="str">
        <x:v>CF0188</x:v>
      </x:c>
      <x:c r="B189" s="10" t="n">
        <x:v>202411</x:v>
      </x:c>
      <x:c r="C189" s="10" t="n">
        <x:v>45614</x:v>
      </x:c>
      <x:c r="D189" s="10" t="n">
        <x:v>12</x:v>
      </x:c>
      <x:c r="E189" s="10" t="str">
        <x:v>Outflow</x:v>
      </x:c>
      <x:c r="F189" s="10" t="str">
        <x:v>labor_cost</x:v>
      </x:c>
      <x:c r="G189" s="10" t="str">
        <x:v>人员成本</x:v>
      </x:c>
      <x:c r="H189" s="53" t="n">
        <x:v>27833</x:v>
      </x:c>
      <x:c r="I189" s="53" t="n">
        <x:v>-27833</x:v>
      </x:c>
      <x:c r="J189" s="10" t="str">
        <x:v>practicum_reconciled</x:v>
      </x:c>
    </x:row>
    <x:row r="190" ht="15" hidden="0" customHeight="1">
      <x:c r="A190" s="10" t="str">
        <x:v>CF0189</x:v>
      </x:c>
      <x:c r="B190" s="10" t="n">
        <x:v>202412</x:v>
      </x:c>
      <x:c r="C190" s="10" t="n">
        <x:v>45644</x:v>
      </x:c>
      <x:c r="D190" s="10" t="n">
        <x:v>12</x:v>
      </x:c>
      <x:c r="E190" s="10" t="str">
        <x:v>Outflow</x:v>
      </x:c>
      <x:c r="F190" s="10" t="str">
        <x:v>labor_cost</x:v>
      </x:c>
      <x:c r="G190" s="10" t="str">
        <x:v>人员成本</x:v>
      </x:c>
      <x:c r="H190" s="53" t="n">
        <x:v>30447</x:v>
      </x:c>
      <x:c r="I190" s="53" t="n">
        <x:v>-30447</x:v>
      </x:c>
      <x:c r="J190" s="10" t="str">
        <x:v>practicum_reconciled</x:v>
      </x:c>
    </x:row>
    <x:row r="191" ht="15" hidden="0" customHeight="1">
      <x:c r="A191" s="10" t="str">
        <x:v>CF0190</x:v>
      </x:c>
      <x:c r="B191" s="10" t="n">
        <x:v>202410</x:v>
      </x:c>
      <x:c r="C191" s="10" t="n">
        <x:v>45583</x:v>
      </x:c>
      <x:c r="D191" s="10" t="n">
        <x:v>12</x:v>
      </x:c>
      <x:c r="E191" s="10" t="str">
        <x:v>Outflow</x:v>
      </x:c>
      <x:c r="F191" s="10" t="str">
        <x:v>raw_material_purchase</x:v>
      </x:c>
      <x:c r="G191" s="10" t="str">
        <x:v>原材料采购</x:v>
      </x:c>
      <x:c r="H191" s="53" t="n">
        <x:v>716120</x:v>
      </x:c>
      <x:c r="I191" s="53" t="n">
        <x:v>-716120</x:v>
      </x:c>
      <x:c r="J191" s="10" t="str">
        <x:v>practicum_reconciled</x:v>
      </x:c>
    </x:row>
    <x:row r="192" ht="15" hidden="0" customHeight="1">
      <x:c r="A192" s="10" t="str">
        <x:v>CF0191</x:v>
      </x:c>
      <x:c r="B192" s="10" t="n">
        <x:v>202411</x:v>
      </x:c>
      <x:c r="C192" s="10" t="n">
        <x:v>45614</x:v>
      </x:c>
      <x:c r="D192" s="10" t="n">
        <x:v>12</x:v>
      </x:c>
      <x:c r="E192" s="10" t="str">
        <x:v>Outflow</x:v>
      </x:c>
      <x:c r="F192" s="10" t="str">
        <x:v>raw_material_purchase</x:v>
      </x:c>
      <x:c r="G192" s="10" t="str">
        <x:v>原材料采购</x:v>
      </x:c>
      <x:c r="H192" s="53" t="n">
        <x:v>747921</x:v>
      </x:c>
      <x:c r="I192" s="53" t="n">
        <x:v>-747921</x:v>
      </x:c>
      <x:c r="J192" s="10" t="str">
        <x:v>practicum_reconciled</x:v>
      </x:c>
    </x:row>
    <x:row r="193" ht="15" hidden="0" customHeight="1">
      <x:c r="A193" s="10" t="str">
        <x:v>CF0192</x:v>
      </x:c>
      <x:c r="B193" s="10" t="n">
        <x:v>202412</x:v>
      </x:c>
      <x:c r="C193" s="10" t="n">
        <x:v>45644</x:v>
      </x:c>
      <x:c r="D193" s="10" t="n">
        <x:v>12</x:v>
      </x:c>
      <x:c r="E193" s="10" t="str">
        <x:v>Outflow</x:v>
      </x:c>
      <x:c r="F193" s="10" t="str">
        <x:v>raw_material_purchase</x:v>
      </x:c>
      <x:c r="G193" s="10" t="str">
        <x:v>原材料采购</x:v>
      </x:c>
      <x:c r="H193" s="53" t="n">
        <x:v>935959</x:v>
      </x:c>
      <x:c r="I193" s="53" t="n">
        <x:v>-935959</x:v>
      </x:c>
      <x:c r="J193" s="10" t="str">
        <x:v>practicum_reconciled</x:v>
      </x:c>
    </x:row>
    <x:row r="194" ht="15" hidden="0" customHeight="1">
      <x:c r="A194" s="10" t="str">
        <x:v>CF0193</x:v>
      </x:c>
      <x:c r="B194" s="10" t="n">
        <x:v>202410</x:v>
      </x:c>
      <x:c r="C194" s="10" t="n">
        <x:v>45583</x:v>
      </x:c>
      <x:c r="D194" s="10" t="n">
        <x:v>12</x:v>
      </x:c>
      <x:c r="E194" s="10" t="str">
        <x:v>Outflow</x:v>
      </x:c>
      <x:c r="F194" s="10" t="str">
        <x:v>loan_interest_penalty</x:v>
      </x:c>
      <x:c r="G194" s="10" t="str">
        <x:v>贷款利息及罚金</x:v>
      </x:c>
      <x:c r="H194" s="53" t="n">
        <x:v>81575</x:v>
      </x:c>
      <x:c r="I194" s="53" t="n">
        <x:v>-81575</x:v>
      </x:c>
      <x:c r="J194" s="10" t="str">
        <x:v>practicum_reconciled</x:v>
      </x:c>
    </x:row>
    <x:row r="195" ht="15" hidden="0" customHeight="1">
      <x:c r="A195" s="10" t="str">
        <x:v>CF0194</x:v>
      </x:c>
      <x:c r="B195" s="10" t="n">
        <x:v>202411</x:v>
      </x:c>
      <x:c r="C195" s="10" t="n">
        <x:v>45614</x:v>
      </x:c>
      <x:c r="D195" s="10" t="n">
        <x:v>12</x:v>
      </x:c>
      <x:c r="E195" s="10" t="str">
        <x:v>Outflow</x:v>
      </x:c>
      <x:c r="F195" s="10" t="str">
        <x:v>loan_interest_penalty</x:v>
      </x:c>
      <x:c r="G195" s="10" t="str">
        <x:v>贷款利息及罚金</x:v>
      </x:c>
      <x:c r="H195" s="53" t="n">
        <x:v>111793</x:v>
      </x:c>
      <x:c r="I195" s="53" t="n">
        <x:v>-111793</x:v>
      </x:c>
      <x:c r="J195" s="10" t="str">
        <x:v>practicum_reconciled</x:v>
      </x:c>
    </x:row>
    <x:row r="196" ht="15" hidden="0" customHeight="1">
      <x:c r="A196" s="10" t="str">
        <x:v>CF0195</x:v>
      </x:c>
      <x:c r="B196" s="10" t="n">
        <x:v>202412</x:v>
      </x:c>
      <x:c r="C196" s="10" t="n">
        <x:v>45644</x:v>
      </x:c>
      <x:c r="D196" s="10" t="n">
        <x:v>12</x:v>
      </x:c>
      <x:c r="E196" s="10" t="str">
        <x:v>Outflow</x:v>
      </x:c>
      <x:c r="F196" s="10" t="str">
        <x:v>loan_interest_penalty</x:v>
      </x:c>
      <x:c r="G196" s="10" t="str">
        <x:v>贷款利息及罚金</x:v>
      </x:c>
      <x:c r="H196" s="53" t="n">
        <x:v>136632</x:v>
      </x:c>
      <x:c r="I196" s="53" t="n">
        <x:v>-136632</x:v>
      </x:c>
      <x:c r="J196" s="10" t="str">
        <x:v>practicum_reconciled</x:v>
      </x:c>
    </x:row>
    <x:row r="197" ht="15" hidden="0" customHeight="1">
      <x:c r="A197" s="10" t="str">
        <x:v>CF0196</x:v>
      </x:c>
      <x:c r="B197" s="10" t="n">
        <x:v>202410</x:v>
      </x:c>
      <x:c r="C197" s="10" t="n">
        <x:v>45583</x:v>
      </x:c>
      <x:c r="D197" s="10" t="n">
        <x:v>12</x:v>
      </x:c>
      <x:c r="E197" s="10" t="str">
        <x:v>Outflow</x:v>
      </x:c>
      <x:c r="F197" s="10" t="str">
        <x:v>logistics</x:v>
      </x:c>
      <x:c r="G197" s="10" t="str">
        <x:v>物流运输</x:v>
      </x:c>
      <x:c r="H197" s="53" t="n">
        <x:v>8110</x:v>
      </x:c>
      <x:c r="I197" s="53" t="n">
        <x:v>-8110</x:v>
      </x:c>
      <x:c r="J197" s="10" t="str">
        <x:v>practicum_reconciled</x:v>
      </x:c>
    </x:row>
    <x:row r="198" ht="15" hidden="0" customHeight="1">
      <x:c r="A198" s="10" t="str">
        <x:v>CF0197</x:v>
      </x:c>
      <x:c r="B198" s="10" t="n">
        <x:v>202411</x:v>
      </x:c>
      <x:c r="C198" s="10" t="n">
        <x:v>45614</x:v>
      </x:c>
      <x:c r="D198" s="10" t="n">
        <x:v>12</x:v>
      </x:c>
      <x:c r="E198" s="10" t="str">
        <x:v>Outflow</x:v>
      </x:c>
      <x:c r="F198" s="10" t="str">
        <x:v>logistics</x:v>
      </x:c>
      <x:c r="G198" s="10" t="str">
        <x:v>物流运输</x:v>
      </x:c>
      <x:c r="H198" s="53" t="n">
        <x:v>8264</x:v>
      </x:c>
      <x:c r="I198" s="53" t="n">
        <x:v>-8264</x:v>
      </x:c>
      <x:c r="J198" s="10" t="str">
        <x:v>practicum_reconciled</x:v>
      </x:c>
    </x:row>
    <x:row r="199" ht="15" hidden="0" customHeight="1">
      <x:c r="A199" s="10" t="str">
        <x:v>CF0198</x:v>
      </x:c>
      <x:c r="B199" s="10" t="n">
        <x:v>202412</x:v>
      </x:c>
      <x:c r="C199" s="10" t="n">
        <x:v>45644</x:v>
      </x:c>
      <x:c r="D199" s="10" t="n">
        <x:v>12</x:v>
      </x:c>
      <x:c r="E199" s="10" t="str">
        <x:v>Outflow</x:v>
      </x:c>
      <x:c r="F199" s="10" t="str">
        <x:v>logistics</x:v>
      </x:c>
      <x:c r="G199" s="10" t="str">
        <x:v>物流运输</x:v>
      </x:c>
      <x:c r="H199" s="53" t="n">
        <x:v>12876</x:v>
      </x:c>
      <x:c r="I199" s="53" t="n">
        <x:v>-12876</x:v>
      </x:c>
      <x:c r="J199" s="10" t="str">
        <x:v>practicum_reconciled</x:v>
      </x:c>
    </x:row>
    <x:row r="200" ht="15" hidden="0" customHeight="1">
      <x:c r="A200" s="10" t="str">
        <x:v>CF0199</x:v>
      </x:c>
      <x:c r="B200" s="10" t="n">
        <x:v>202501</x:v>
      </x:c>
      <x:c r="C200" s="10" t="n">
        <x:v>45675</x:v>
      </x:c>
      <x:c r="D200" s="10" t="n">
        <x:v>13</x:v>
      </x:c>
      <x:c r="E200" s="10" t="str">
        <x:v>Inflow</x:v>
      </x:c>
      <x:c r="F200" s="10" t="str">
        <x:v>interest_income</x:v>
      </x:c>
      <x:c r="G200" s="10" t="str">
        <x:v>存款利息</x:v>
      </x:c>
      <x:c r="H200" s="53" t="n">
        <x:v>1699</x:v>
      </x:c>
      <x:c r="I200" s="53" t="n">
        <x:v>1699</x:v>
      </x:c>
      <x:c r="J200" s="10" t="str">
        <x:v>practicum_reconciled</x:v>
      </x:c>
    </x:row>
    <x:row r="201" ht="15" hidden="0" customHeight="1">
      <x:c r="A201" s="10" t="str">
        <x:v>CF0200</x:v>
      </x:c>
      <x:c r="B201" s="10" t="n">
        <x:v>202502</x:v>
      </x:c>
      <x:c r="C201" s="10" t="n">
        <x:v>45706</x:v>
      </x:c>
      <x:c r="D201" s="10" t="n">
        <x:v>13</x:v>
      </x:c>
      <x:c r="E201" s="10" t="str">
        <x:v>Inflow</x:v>
      </x:c>
      <x:c r="F201" s="10" t="str">
        <x:v>interest_income</x:v>
      </x:c>
      <x:c r="G201" s="10" t="str">
        <x:v>存款利息</x:v>
      </x:c>
      <x:c r="H201" s="53" t="n">
        <x:v>1609</x:v>
      </x:c>
      <x:c r="I201" s="53" t="n">
        <x:v>1609</x:v>
      </x:c>
      <x:c r="J201" s="10" t="str">
        <x:v>practicum_reconciled</x:v>
      </x:c>
    </x:row>
    <x:row r="202" ht="15" hidden="0" customHeight="1">
      <x:c r="A202" s="10" t="str">
        <x:v>CF0201</x:v>
      </x:c>
      <x:c r="B202" s="10" t="n">
        <x:v>202503</x:v>
      </x:c>
      <x:c r="C202" s="10" t="n">
        <x:v>45734</x:v>
      </x:c>
      <x:c r="D202" s="10" t="n">
        <x:v>13</x:v>
      </x:c>
      <x:c r="E202" s="10" t="str">
        <x:v>Inflow</x:v>
      </x:c>
      <x:c r="F202" s="10" t="str">
        <x:v>interest_income</x:v>
      </x:c>
      <x:c r="G202" s="10" t="str">
        <x:v>存款利息</x:v>
      </x:c>
      <x:c r="H202" s="53" t="n">
        <x:v>2095</x:v>
      </x:c>
      <x:c r="I202" s="53" t="n">
        <x:v>2095</x:v>
      </x:c>
      <x:c r="J202" s="10" t="str">
        <x:v>practicum_reconciled</x:v>
      </x:c>
    </x:row>
    <x:row r="203" ht="15" hidden="0" customHeight="1">
      <x:c r="A203" s="10" t="str">
        <x:v>CF0202</x:v>
      </x:c>
      <x:c r="B203" s="10" t="n">
        <x:v>202501</x:v>
      </x:c>
      <x:c r="C203" s="10" t="n">
        <x:v>45675</x:v>
      </x:c>
      <x:c r="D203" s="10" t="n">
        <x:v>13</x:v>
      </x:c>
      <x:c r="E203" s="10" t="str">
        <x:v>Inflow</x:v>
      </x:c>
      <x:c r="F203" s="10" t="str">
        <x:v>sales_receipts</x:v>
      </x:c>
      <x:c r="G203" s="10" t="str">
        <x:v>销售回款</x:v>
      </x:c>
      <x:c r="H203" s="53" t="n">
        <x:v>1547692</x:v>
      </x:c>
      <x:c r="I203" s="53" t="n">
        <x:v>1547692</x:v>
      </x:c>
      <x:c r="J203" s="10" t="str">
        <x:v>practicum_reconciled</x:v>
      </x:c>
    </x:row>
    <x:row r="204" ht="15" hidden="0" customHeight="1">
      <x:c r="A204" s="10" t="str">
        <x:v>CF0203</x:v>
      </x:c>
      <x:c r="B204" s="10" t="n">
        <x:v>202502</x:v>
      </x:c>
      <x:c r="C204" s="10" t="n">
        <x:v>45706</x:v>
      </x:c>
      <x:c r="D204" s="10" t="n">
        <x:v>13</x:v>
      </x:c>
      <x:c r="E204" s="10" t="str">
        <x:v>Inflow</x:v>
      </x:c>
      <x:c r="F204" s="10" t="str">
        <x:v>sales_receipts</x:v>
      </x:c>
      <x:c r="G204" s="10" t="str">
        <x:v>销售回款</x:v>
      </x:c>
      <x:c r="H204" s="53" t="n">
        <x:v>1791381</x:v>
      </x:c>
      <x:c r="I204" s="53" t="n">
        <x:v>1791381</x:v>
      </x:c>
      <x:c r="J204" s="10" t="str">
        <x:v>practicum_reconciled</x:v>
      </x:c>
    </x:row>
    <x:row r="205" ht="15" hidden="0" customHeight="1">
      <x:c r="A205" s="10" t="str">
        <x:v>CF0204</x:v>
      </x:c>
      <x:c r="B205" s="10" t="n">
        <x:v>202503</x:v>
      </x:c>
      <x:c r="C205" s="10" t="n">
        <x:v>45734</x:v>
      </x:c>
      <x:c r="D205" s="10" t="n">
        <x:v>13</x:v>
      </x:c>
      <x:c r="E205" s="10" t="str">
        <x:v>Inflow</x:v>
      </x:c>
      <x:c r="F205" s="10" t="str">
        <x:v>sales_receipts</x:v>
      </x:c>
      <x:c r="G205" s="10" t="str">
        <x:v>销售回款</x:v>
      </x:c>
      <x:c r="H205" s="53" t="n">
        <x:v>2173427</x:v>
      </x:c>
      <x:c r="I205" s="53" t="n">
        <x:v>2173427</x:v>
      </x:c>
      <x:c r="J205" s="10" t="str">
        <x:v>practicum_reconciled</x:v>
      </x:c>
    </x:row>
    <x:row r="206" ht="15" hidden="0" customHeight="1">
      <x:c r="A206" s="10" t="str">
        <x:v>CF0205</x:v>
      </x:c>
      <x:c r="B206" s="10" t="n">
        <x:v>202501</x:v>
      </x:c>
      <x:c r="C206" s="10" t="n">
        <x:v>45675</x:v>
      </x:c>
      <x:c r="D206" s="10" t="n">
        <x:v>13</x:v>
      </x:c>
      <x:c r="E206" s="10" t="str">
        <x:v>Outflow</x:v>
      </x:c>
      <x:c r="F206" s="10" t="str">
        <x:v>productive_fixed_assets</x:v>
      </x:c>
      <x:c r="G206" s="10" t="str">
        <x:v>生产性固定资产</x:v>
      </x:c>
      <x:c r="H206" s="53" t="n">
        <x:v>112784</x:v>
      </x:c>
      <x:c r="I206" s="53" t="n">
        <x:v>-112784</x:v>
      </x:c>
      <x:c r="J206" s="10" t="str">
        <x:v>practicum_reconciled</x:v>
      </x:c>
    </x:row>
    <x:row r="207" ht="15" hidden="0" customHeight="1">
      <x:c r="A207" s="10" t="str">
        <x:v>CF0206</x:v>
      </x:c>
      <x:c r="B207" s="10" t="n">
        <x:v>202502</x:v>
      </x:c>
      <x:c r="C207" s="10" t="n">
        <x:v>45706</x:v>
      </x:c>
      <x:c r="D207" s="10" t="n">
        <x:v>13</x:v>
      </x:c>
      <x:c r="E207" s="10" t="str">
        <x:v>Outflow</x:v>
      </x:c>
      <x:c r="F207" s="10" t="str">
        <x:v>productive_fixed_assets</x:v>
      </x:c>
      <x:c r="G207" s="10" t="str">
        <x:v>生产性固定资产</x:v>
      </x:c>
      <x:c r="H207" s="53" t="n">
        <x:v>143849</x:v>
      </x:c>
      <x:c r="I207" s="53" t="n">
        <x:v>-143849</x:v>
      </x:c>
      <x:c r="J207" s="10" t="str">
        <x:v>practicum_reconciled</x:v>
      </x:c>
    </x:row>
    <x:row r="208" ht="15" hidden="0" customHeight="1">
      <x:c r="A208" s="10" t="str">
        <x:v>CF0207</x:v>
      </x:c>
      <x:c r="B208" s="10" t="n">
        <x:v>202503</x:v>
      </x:c>
      <x:c r="C208" s="10" t="n">
        <x:v>45734</x:v>
      </x:c>
      <x:c r="D208" s="10" t="n">
        <x:v>13</x:v>
      </x:c>
      <x:c r="E208" s="10" t="str">
        <x:v>Outflow</x:v>
      </x:c>
      <x:c r="F208" s="10" t="str">
        <x:v>productive_fixed_assets</x:v>
      </x:c>
      <x:c r="G208" s="10" t="str">
        <x:v>生产性固定资产</x:v>
      </x:c>
      <x:c r="H208" s="53" t="n">
        <x:v>148767</x:v>
      </x:c>
      <x:c r="I208" s="53" t="n">
        <x:v>-148767</x:v>
      </x:c>
      <x:c r="J208" s="10" t="str">
        <x:v>practicum_reconciled</x:v>
      </x:c>
    </x:row>
    <x:row r="209" ht="15" hidden="0" customHeight="1">
      <x:c r="A209" s="10" t="str">
        <x:v>CF0208</x:v>
      </x:c>
      <x:c r="B209" s="10" t="n">
        <x:v>202501</x:v>
      </x:c>
      <x:c r="C209" s="10" t="n">
        <x:v>45675</x:v>
      </x:c>
      <x:c r="D209" s="10" t="n">
        <x:v>13</x:v>
      </x:c>
      <x:c r="E209" s="10" t="str">
        <x:v>Outflow</x:v>
      </x:c>
      <x:c r="F209" s="10" t="str">
        <x:v>raw_material_warehouse</x:v>
      </x:c>
      <x:c r="G209" s="10" t="str">
        <x:v>原材料仓储</x:v>
      </x:c>
      <x:c r="H209" s="53" t="n">
        <x:v>1094</x:v>
      </x:c>
      <x:c r="I209" s="53" t="n">
        <x:v>-1094</x:v>
      </x:c>
      <x:c r="J209" s="10" t="str">
        <x:v>practicum_reconciled</x:v>
      </x:c>
    </x:row>
    <x:row r="210" ht="15" hidden="0" customHeight="1">
      <x:c r="A210" s="10" t="str">
        <x:v>CF0209</x:v>
      </x:c>
      <x:c r="B210" s="10" t="n">
        <x:v>202502</x:v>
      </x:c>
      <x:c r="C210" s="10" t="n">
        <x:v>45706</x:v>
      </x:c>
      <x:c r="D210" s="10" t="n">
        <x:v>13</x:v>
      </x:c>
      <x:c r="E210" s="10" t="str">
        <x:v>Outflow</x:v>
      </x:c>
      <x:c r="F210" s="10" t="str">
        <x:v>raw_material_warehouse</x:v>
      </x:c>
      <x:c r="G210" s="10" t="str">
        <x:v>原材料仓储</x:v>
      </x:c>
      <x:c r="H210" s="53" t="n">
        <x:v>1412</x:v>
      </x:c>
      <x:c r="I210" s="53" t="n">
        <x:v>-1412</x:v>
      </x:c>
      <x:c r="J210" s="10" t="str">
        <x:v>practicum_reconciled</x:v>
      </x:c>
    </x:row>
    <x:row r="211" ht="15" hidden="0" customHeight="1">
      <x:c r="A211" s="10" t="str">
        <x:v>CF0210</x:v>
      </x:c>
      <x:c r="B211" s="10" t="n">
        <x:v>202503</x:v>
      </x:c>
      <x:c r="C211" s="10" t="n">
        <x:v>45734</x:v>
      </x:c>
      <x:c r="D211" s="10" t="n">
        <x:v>13</x:v>
      </x:c>
      <x:c r="E211" s="10" t="str">
        <x:v>Outflow</x:v>
      </x:c>
      <x:c r="F211" s="10" t="str">
        <x:v>raw_material_warehouse</x:v>
      </x:c>
      <x:c r="G211" s="10" t="str">
        <x:v>原材料仓储</x:v>
      </x:c>
      <x:c r="H211" s="53" t="n">
        <x:v>1494</x:v>
      </x:c>
      <x:c r="I211" s="53" t="n">
        <x:v>-1494</x:v>
      </x:c>
      <x:c r="J211" s="10" t="str">
        <x:v>practicum_reconciled</x:v>
      </x:c>
    </x:row>
    <x:row r="212" ht="15" hidden="0" customHeight="1">
      <x:c r="A212" s="10" t="str">
        <x:v>CF0211</x:v>
      </x:c>
      <x:c r="B212" s="10" t="n">
        <x:v>202501</x:v>
      </x:c>
      <x:c r="C212" s="10" t="n">
        <x:v>45675</x:v>
      </x:c>
      <x:c r="D212" s="10" t="n">
        <x:v>13</x:v>
      </x:c>
      <x:c r="E212" s="10" t="str">
        <x:v>Outflow</x:v>
      </x:c>
      <x:c r="F212" s="10" t="str">
        <x:v>raw_material_purchase</x:v>
      </x:c>
      <x:c r="G212" s="10" t="str">
        <x:v>原材料采购</x:v>
      </x:c>
      <x:c r="H212" s="53" t="n">
        <x:v>819059</x:v>
      </x:c>
      <x:c r="I212" s="53" t="n">
        <x:v>-819059</x:v>
      </x:c>
      <x:c r="J212" s="10" t="str">
        <x:v>practicum_reconciled</x:v>
      </x:c>
    </x:row>
    <x:row r="213" ht="15" hidden="0" customHeight="1">
      <x:c r="A213" s="10" t="str">
        <x:v>CF0212</x:v>
      </x:c>
      <x:c r="B213" s="10" t="n">
        <x:v>202502</x:v>
      </x:c>
      <x:c r="C213" s="10" t="n">
        <x:v>45706</x:v>
      </x:c>
      <x:c r="D213" s="10" t="n">
        <x:v>13</x:v>
      </x:c>
      <x:c r="E213" s="10" t="str">
        <x:v>Outflow</x:v>
      </x:c>
      <x:c r="F213" s="10" t="str">
        <x:v>raw_material_purchase</x:v>
      </x:c>
      <x:c r="G213" s="10" t="str">
        <x:v>原材料采购</x:v>
      </x:c>
      <x:c r="H213" s="53" t="n">
        <x:v>1024627</x:v>
      </x:c>
      <x:c r="I213" s="53" t="n">
        <x:v>-1024627</x:v>
      </x:c>
      <x:c r="J213" s="10" t="str">
        <x:v>practicum_reconciled</x:v>
      </x:c>
    </x:row>
    <x:row r="214" ht="15" hidden="0" customHeight="1">
      <x:c r="A214" s="10" t="str">
        <x:v>CF0213</x:v>
      </x:c>
      <x:c r="B214" s="10" t="n">
        <x:v>202503</x:v>
      </x:c>
      <x:c r="C214" s="10" t="n">
        <x:v>45734</x:v>
      </x:c>
      <x:c r="D214" s="10" t="n">
        <x:v>13</x:v>
      </x:c>
      <x:c r="E214" s="10" t="str">
        <x:v>Outflow</x:v>
      </x:c>
      <x:c r="F214" s="10" t="str">
        <x:v>raw_material_purchase</x:v>
      </x:c>
      <x:c r="G214" s="10" t="str">
        <x:v>原材料采购</x:v>
      </x:c>
      <x:c r="H214" s="53" t="n">
        <x:v>1036314</x:v>
      </x:c>
      <x:c r="I214" s="53" t="n">
        <x:v>-1036314</x:v>
      </x:c>
      <x:c r="J214" s="10" t="str">
        <x:v>practicum_reconciled</x:v>
      </x:c>
    </x:row>
    <x:row r="215" ht="15" hidden="0" customHeight="1">
      <x:c r="A215" s="10" t="str">
        <x:v>CF0214</x:v>
      </x:c>
      <x:c r="B215" s="10" t="n">
        <x:v>202501</x:v>
      </x:c>
      <x:c r="C215" s="10" t="n">
        <x:v>45675</x:v>
      </x:c>
      <x:c r="D215" s="10" t="n">
        <x:v>13</x:v>
      </x:c>
      <x:c r="E215" s="10" t="str">
        <x:v>Outflow</x:v>
      </x:c>
      <x:c r="F215" s="10" t="str">
        <x:v>logistics</x:v>
      </x:c>
      <x:c r="G215" s="10" t="str">
        <x:v>物流运输</x:v>
      </x:c>
      <x:c r="H215" s="53" t="n">
        <x:v>9851</x:v>
      </x:c>
      <x:c r="I215" s="53" t="n">
        <x:v>-9851</x:v>
      </x:c>
      <x:c r="J215" s="10" t="str">
        <x:v>practicum_reconciled</x:v>
      </x:c>
    </x:row>
    <x:row r="216" ht="15" hidden="0" customHeight="1">
      <x:c r="A216" s="10" t="str">
        <x:v>CF0215</x:v>
      </x:c>
      <x:c r="B216" s="10" t="n">
        <x:v>202502</x:v>
      </x:c>
      <x:c r="C216" s="10" t="n">
        <x:v>45706</x:v>
      </x:c>
      <x:c r="D216" s="10" t="n">
        <x:v>13</x:v>
      </x:c>
      <x:c r="E216" s="10" t="str">
        <x:v>Outflow</x:v>
      </x:c>
      <x:c r="F216" s="10" t="str">
        <x:v>logistics</x:v>
      </x:c>
      <x:c r="G216" s="10" t="str">
        <x:v>物流运输</x:v>
      </x:c>
      <x:c r="H216" s="53" t="n">
        <x:v>11746</x:v>
      </x:c>
      <x:c r="I216" s="53" t="n">
        <x:v>-11746</x:v>
      </x:c>
      <x:c r="J216" s="10" t="str">
        <x:v>practicum_reconciled</x:v>
      </x:c>
    </x:row>
    <x:row r="217" ht="15" hidden="0" customHeight="1">
      <x:c r="A217" s="10" t="str">
        <x:v>CF0216</x:v>
      </x:c>
      <x:c r="B217" s="10" t="n">
        <x:v>202503</x:v>
      </x:c>
      <x:c r="C217" s="10" t="n">
        <x:v>45734</x:v>
      </x:c>
      <x:c r="D217" s="10" t="n">
        <x:v>13</x:v>
      </x:c>
      <x:c r="E217" s="10" t="str">
        <x:v>Outflow</x:v>
      </x:c>
      <x:c r="F217" s="10" t="str">
        <x:v>logistics</x:v>
      </x:c>
      <x:c r="G217" s="10" t="str">
        <x:v>物流运输</x:v>
      </x:c>
      <x:c r="H217" s="53" t="n">
        <x:v>17403</x:v>
      </x:c>
      <x:c r="I217" s="53" t="n">
        <x:v>-17403</x:v>
      </x:c>
      <x:c r="J217" s="10" t="str">
        <x:v>practicum_reconciled</x:v>
      </x:c>
    </x:row>
    <x:row r="218" ht="15" hidden="0" customHeight="1">
      <x:c r="A218" s="10" t="str">
        <x:v>CF0217</x:v>
      </x:c>
      <x:c r="B218" s="10" t="n">
        <x:v>202501</x:v>
      </x:c>
      <x:c r="C218" s="10" t="n">
        <x:v>45675</x:v>
      </x:c>
      <x:c r="D218" s="10" t="n">
        <x:v>13</x:v>
      </x:c>
      <x:c r="E218" s="10" t="str">
        <x:v>Outflow</x:v>
      </x:c>
      <x:c r="F218" s="10" t="str">
        <x:v>loan_interest_penalty</x:v>
      </x:c>
      <x:c r="G218" s="10" t="str">
        <x:v>贷款利息及罚金</x:v>
      </x:c>
      <x:c r="H218" s="53" t="n">
        <x:v>358101</x:v>
      </x:c>
      <x:c r="I218" s="53" t="n">
        <x:v>-358101</x:v>
      </x:c>
      <x:c r="J218" s="10" t="str">
        <x:v>practicum_reconciled</x:v>
      </x:c>
    </x:row>
    <x:row r="219" ht="15" hidden="0" customHeight="1">
      <x:c r="A219" s="10" t="str">
        <x:v>CF0218</x:v>
      </x:c>
      <x:c r="B219" s="10" t="n">
        <x:v>202502</x:v>
      </x:c>
      <x:c r="C219" s="10" t="n">
        <x:v>45706</x:v>
      </x:c>
      <x:c r="D219" s="10" t="n">
        <x:v>13</x:v>
      </x:c>
      <x:c r="E219" s="10" t="str">
        <x:v>Outflow</x:v>
      </x:c>
      <x:c r="F219" s="10" t="str">
        <x:v>loan_interest_penalty</x:v>
      </x:c>
      <x:c r="G219" s="10" t="str">
        <x:v>贷款利息及罚金</x:v>
      </x:c>
      <x:c r="H219" s="53" t="n">
        <x:v>350746</x:v>
      </x:c>
      <x:c r="I219" s="53" t="n">
        <x:v>-350746</x:v>
      </x:c>
      <x:c r="J219" s="10" t="str">
        <x:v>practicum_reconciled</x:v>
      </x:c>
    </x:row>
    <x:row r="220" ht="15" hidden="0" customHeight="1">
      <x:c r="A220" s="10" t="str">
        <x:v>CF0219</x:v>
      </x:c>
      <x:c r="B220" s="10" t="n">
        <x:v>202503</x:v>
      </x:c>
      <x:c r="C220" s="10" t="n">
        <x:v>45734</x:v>
      </x:c>
      <x:c r="D220" s="10" t="n">
        <x:v>13</x:v>
      </x:c>
      <x:c r="E220" s="10" t="str">
        <x:v>Outflow</x:v>
      </x:c>
      <x:c r="F220" s="10" t="str">
        <x:v>loan_interest_penalty</x:v>
      </x:c>
      <x:c r="G220" s="10" t="str">
        <x:v>贷款利息及罚金</x:v>
      </x:c>
      <x:c r="H220" s="53" t="n">
        <x:v>527153</x:v>
      </x:c>
      <x:c r="I220" s="53" t="n">
        <x:v>-527153</x:v>
      </x:c>
      <x:c r="J220" s="10" t="str">
        <x:v>practicum_reconciled</x:v>
      </x:c>
    </x:row>
    <x:row r="221" ht="15" hidden="0" customHeight="1">
      <x:c r="A221" s="10" t="str">
        <x:v>CF0220</x:v>
      </x:c>
      <x:c r="B221" s="10" t="n">
        <x:v>202501</x:v>
      </x:c>
      <x:c r="C221" s="10" t="n">
        <x:v>45675</x:v>
      </x:c>
      <x:c r="D221" s="10" t="n">
        <x:v>13</x:v>
      </x:c>
      <x:c r="E221" s="10" t="str">
        <x:v>Outflow</x:v>
      </x:c>
      <x:c r="F221" s="10" t="str">
        <x:v>labor_cost</x:v>
      </x:c>
      <x:c r="G221" s="10" t="str">
        <x:v>人员成本</x:v>
      </x:c>
      <x:c r="H221" s="53" t="n">
        <x:v>296113</x:v>
      </x:c>
      <x:c r="I221" s="53" t="n">
        <x:v>-296113</x:v>
      </x:c>
      <x:c r="J221" s="10" t="str">
        <x:v>practicum_reconciled</x:v>
      </x:c>
    </x:row>
    <x:row r="222" ht="15" hidden="0" customHeight="1">
      <x:c r="A222" s="10" t="str">
        <x:v>CF0221</x:v>
      </x:c>
      <x:c r="B222" s="10" t="n">
        <x:v>202502</x:v>
      </x:c>
      <x:c r="C222" s="10" t="n">
        <x:v>45706</x:v>
      </x:c>
      <x:c r="D222" s="10" t="n">
        <x:v>13</x:v>
      </x:c>
      <x:c r="E222" s="10" t="str">
        <x:v>Outflow</x:v>
      </x:c>
      <x:c r="F222" s="10" t="str">
        <x:v>labor_cost</x:v>
      </x:c>
      <x:c r="G222" s="10" t="str">
        <x:v>人员成本</x:v>
      </x:c>
      <x:c r="H222" s="53" t="n">
        <x:v>471304</x:v>
      </x:c>
      <x:c r="I222" s="53" t="n">
        <x:v>-471304</x:v>
      </x:c>
      <x:c r="J222" s="10" t="str">
        <x:v>practicum_reconciled</x:v>
      </x:c>
    </x:row>
    <x:row r="223" ht="15" hidden="0" customHeight="1">
      <x:c r="A223" s="10" t="str">
        <x:v>CF0222</x:v>
      </x:c>
      <x:c r="B223" s="10" t="n">
        <x:v>202503</x:v>
      </x:c>
      <x:c r="C223" s="10" t="n">
        <x:v>45734</x:v>
      </x:c>
      <x:c r="D223" s="10" t="n">
        <x:v>13</x:v>
      </x:c>
      <x:c r="E223" s="10" t="str">
        <x:v>Outflow</x:v>
      </x:c>
      <x:c r="F223" s="10" t="str">
        <x:v>labor_cost</x:v>
      </x:c>
      <x:c r="G223" s="10" t="str">
        <x:v>人员成本</x:v>
      </x:c>
      <x:c r="H223" s="53" t="n">
        <x:v>520583</x:v>
      </x:c>
      <x:c r="I223" s="53" t="n">
        <x:v>-520583</x:v>
      </x:c>
      <x:c r="J223" s="10" t="str">
        <x:v>practicum_reconciled</x:v>
      </x:c>
    </x:row>
    <x:row r="224" ht="15" hidden="0" customHeight="1">
      <x:c r="A224" s="10" t="str">
        <x:v>CF0223</x:v>
      </x:c>
      <x:c r="B224" s="10" t="n">
        <x:v>202504</x:v>
      </x:c>
      <x:c r="C224" s="10" t="n">
        <x:v>45765</x:v>
      </x:c>
      <x:c r="D224" s="10" t="n">
        <x:v>14</x:v>
      </x:c>
      <x:c r="E224" s="10" t="str">
        <x:v>Inflow</x:v>
      </x:c>
      <x:c r="F224" s="10" t="str">
        <x:v>interest_income</x:v>
      </x:c>
      <x:c r="G224" s="10" t="str">
        <x:v>存款利息</x:v>
      </x:c>
      <x:c r="H224" s="53" t="n">
        <x:v>15</x:v>
      </x:c>
      <x:c r="I224" s="53" t="n">
        <x:v>15</x:v>
      </x:c>
      <x:c r="J224" s="10" t="str">
        <x:v>practicum_reconciled</x:v>
      </x:c>
    </x:row>
    <x:row r="225" ht="15" hidden="0" customHeight="1">
      <x:c r="A225" s="10" t="str">
        <x:v>CF0224</x:v>
      </x:c>
      <x:c r="B225" s="10" t="n">
        <x:v>202505</x:v>
      </x:c>
      <x:c r="C225" s="10" t="n">
        <x:v>45795</x:v>
      </x:c>
      <x:c r="D225" s="10" t="n">
        <x:v>14</x:v>
      </x:c>
      <x:c r="E225" s="10" t="str">
        <x:v>Inflow</x:v>
      </x:c>
      <x:c r="F225" s="10" t="str">
        <x:v>interest_income</x:v>
      </x:c>
      <x:c r="G225" s="10" t="str">
        <x:v>存款利息</x:v>
      </x:c>
      <x:c r="H225" s="53" t="n">
        <x:v>16</x:v>
      </x:c>
      <x:c r="I225" s="53" t="n">
        <x:v>16</x:v>
      </x:c>
      <x:c r="J225" s="10" t="str">
        <x:v>practicum_reconciled</x:v>
      </x:c>
    </x:row>
    <x:row r="226" ht="15" hidden="0" customHeight="1">
      <x:c r="A226" s="10" t="str">
        <x:v>CF0225</x:v>
      </x:c>
      <x:c r="B226" s="10" t="n">
        <x:v>202506</x:v>
      </x:c>
      <x:c r="C226" s="10" t="n">
        <x:v>45826</x:v>
      </x:c>
      <x:c r="D226" s="10" t="n">
        <x:v>14</x:v>
      </x:c>
      <x:c r="E226" s="10" t="str">
        <x:v>Inflow</x:v>
      </x:c>
      <x:c r="F226" s="10" t="str">
        <x:v>interest_income</x:v>
      </x:c>
      <x:c r="G226" s="10" t="str">
        <x:v>存款利息</x:v>
      </x:c>
      <x:c r="H226" s="53" t="n">
        <x:v>20</x:v>
      </x:c>
      <x:c r="I226" s="53" t="n">
        <x:v>20</x:v>
      </x:c>
      <x:c r="J226" s="10" t="str">
        <x:v>practicum_reconciled</x:v>
      </x:c>
    </x:row>
    <x:row r="227" ht="15" hidden="0" customHeight="1">
      <x:c r="A227" s="10" t="str">
        <x:v>CF0226</x:v>
      </x:c>
      <x:c r="B227" s="10" t="n">
        <x:v>202504</x:v>
      </x:c>
      <x:c r="C227" s="10" t="n">
        <x:v>45765</x:v>
      </x:c>
      <x:c r="D227" s="10" t="n">
        <x:v>14</x:v>
      </x:c>
      <x:c r="E227" s="10" t="str">
        <x:v>Inflow</x:v>
      </x:c>
      <x:c r="F227" s="10" t="str">
        <x:v>sales_receipts</x:v>
      </x:c>
      <x:c r="G227" s="10" t="str">
        <x:v>销售回款</x:v>
      </x:c>
      <x:c r="H227" s="53" t="n">
        <x:v>2382019</x:v>
      </x:c>
      <x:c r="I227" s="53" t="n">
        <x:v>2382019</x:v>
      </x:c>
      <x:c r="J227" s="10" t="str">
        <x:v>practicum_reconciled</x:v>
      </x:c>
    </x:row>
    <x:row r="228" ht="15" hidden="0" customHeight="1">
      <x:c r="A228" s="10" t="str">
        <x:v>CF0227</x:v>
      </x:c>
      <x:c r="B228" s="10" t="n">
        <x:v>202505</x:v>
      </x:c>
      <x:c r="C228" s="10" t="n">
        <x:v>45795</x:v>
      </x:c>
      <x:c r="D228" s="10" t="n">
        <x:v>14</x:v>
      </x:c>
      <x:c r="E228" s="10" t="str">
        <x:v>Inflow</x:v>
      </x:c>
      <x:c r="F228" s="10" t="str">
        <x:v>sales_receipts</x:v>
      </x:c>
      <x:c r="G228" s="10" t="str">
        <x:v>销售回款</x:v>
      </x:c>
      <x:c r="H228" s="53" t="n">
        <x:v>2161941</x:v>
      </x:c>
      <x:c r="I228" s="53" t="n">
        <x:v>2161941</x:v>
      </x:c>
      <x:c r="J228" s="10" t="str">
        <x:v>practicum_reconciled</x:v>
      </x:c>
    </x:row>
    <x:row r="229" ht="15" hidden="0" customHeight="1">
      <x:c r="A229" s="10" t="str">
        <x:v>CF0228</x:v>
      </x:c>
      <x:c r="B229" s="10" t="n">
        <x:v>202506</x:v>
      </x:c>
      <x:c r="C229" s="10" t="n">
        <x:v>45826</x:v>
      </x:c>
      <x:c r="D229" s="10" t="n">
        <x:v>14</x:v>
      </x:c>
      <x:c r="E229" s="10" t="str">
        <x:v>Inflow</x:v>
      </x:c>
      <x:c r="F229" s="10" t="str">
        <x:v>sales_receipts</x:v>
      </x:c>
      <x:c r="G229" s="10" t="str">
        <x:v>销售回款</x:v>
      </x:c>
      <x:c r="H229" s="53" t="n">
        <x:v>2806040</x:v>
      </x:c>
      <x:c r="I229" s="53" t="n">
        <x:v>2806040</x:v>
      </x:c>
      <x:c r="J229" s="10" t="str">
        <x:v>practicum_reconciled</x:v>
      </x:c>
    </x:row>
    <x:row r="230" ht="15" hidden="0" customHeight="1">
      <x:c r="A230" s="10" t="str">
        <x:v>CF0229</x:v>
      </x:c>
      <x:c r="B230" s="10" t="n">
        <x:v>202504</x:v>
      </x:c>
      <x:c r="C230" s="10" t="n">
        <x:v>45765</x:v>
      </x:c>
      <x:c r="D230" s="10" t="n">
        <x:v>14</x:v>
      </x:c>
      <x:c r="E230" s="10" t="str">
        <x:v>Outflow</x:v>
      </x:c>
      <x:c r="F230" s="10" t="str">
        <x:v>loan_principal_repayment</x:v>
      </x:c>
      <x:c r="G230" s="10" t="str">
        <x:v>偿还贷款本金</x:v>
      </x:c>
      <x:c r="H230" s="53" t="n">
        <x:v>1596992</x:v>
      </x:c>
      <x:c r="I230" s="53" t="n">
        <x:v>-1596992</x:v>
      </x:c>
      <x:c r="J230" s="10" t="str">
        <x:v>practicum_reconciled</x:v>
      </x:c>
    </x:row>
    <x:row r="231" ht="15" hidden="0" customHeight="1">
      <x:c r="A231" s="10" t="str">
        <x:v>CF0230</x:v>
      </x:c>
      <x:c r="B231" s="10" t="n">
        <x:v>202505</x:v>
      </x:c>
      <x:c r="C231" s="10" t="n">
        <x:v>45795</x:v>
      </x:c>
      <x:c r="D231" s="10" t="n">
        <x:v>14</x:v>
      </x:c>
      <x:c r="E231" s="10" t="str">
        <x:v>Outflow</x:v>
      </x:c>
      <x:c r="F231" s="10" t="str">
        <x:v>loan_principal_repayment</x:v>
      </x:c>
      <x:c r="G231" s="10" t="str">
        <x:v>偿还贷款本金</x:v>
      </x:c>
      <x:c r="H231" s="53" t="n">
        <x:v>1667360</x:v>
      </x:c>
      <x:c r="I231" s="53" t="n">
        <x:v>-1667360</x:v>
      </x:c>
      <x:c r="J231" s="10" t="str">
        <x:v>practicum_reconciled</x:v>
      </x:c>
    </x:row>
    <x:row r="232" ht="15" hidden="0" customHeight="1">
      <x:c r="A232" s="10" t="str">
        <x:v>CF0231</x:v>
      </x:c>
      <x:c r="B232" s="10" t="n">
        <x:v>202506</x:v>
      </x:c>
      <x:c r="C232" s="10" t="n">
        <x:v>45826</x:v>
      </x:c>
      <x:c r="D232" s="10" t="n">
        <x:v>14</x:v>
      </x:c>
      <x:c r="E232" s="10" t="str">
        <x:v>Outflow</x:v>
      </x:c>
      <x:c r="F232" s="10" t="str">
        <x:v>loan_principal_repayment</x:v>
      </x:c>
      <x:c r="G232" s="10" t="str">
        <x:v>偿还贷款本金</x:v>
      </x:c>
      <x:c r="H232" s="53" t="n">
        <x:v>1735648</x:v>
      </x:c>
      <x:c r="I232" s="53" t="n">
        <x:v>-1735648</x:v>
      </x:c>
      <x:c r="J232" s="10" t="str">
        <x:v>practicum_reconciled</x:v>
      </x:c>
    </x:row>
    <x:row r="233" ht="15" hidden="0" customHeight="1">
      <x:c r="A233" s="10" t="str">
        <x:v>CF0232</x:v>
      </x:c>
      <x:c r="B233" s="10" t="n">
        <x:v>202504</x:v>
      </x:c>
      <x:c r="C233" s="10" t="n">
        <x:v>45765</x:v>
      </x:c>
      <x:c r="D233" s="10" t="n">
        <x:v>14</x:v>
      </x:c>
      <x:c r="E233" s="10" t="str">
        <x:v>Outflow</x:v>
      </x:c>
      <x:c r="F233" s="10" t="str">
        <x:v>loan_interest_penalty</x:v>
      </x:c>
      <x:c r="G233" s="10" t="str">
        <x:v>贷款利息及罚金</x:v>
      </x:c>
      <x:c r="H233" s="53" t="n">
        <x:v>58965</x:v>
      </x:c>
      <x:c r="I233" s="53" t="n">
        <x:v>-58965</x:v>
      </x:c>
      <x:c r="J233" s="10" t="str">
        <x:v>practicum_reconciled</x:v>
      </x:c>
    </x:row>
    <x:row r="234" ht="15" hidden="0" customHeight="1">
      <x:c r="A234" s="10" t="str">
        <x:v>CF0233</x:v>
      </x:c>
      <x:c r="B234" s="10" t="n">
        <x:v>202505</x:v>
      </x:c>
      <x:c r="C234" s="10" t="n">
        <x:v>45795</x:v>
      </x:c>
      <x:c r="D234" s="10" t="n">
        <x:v>14</x:v>
      </x:c>
      <x:c r="E234" s="10" t="str">
        <x:v>Outflow</x:v>
      </x:c>
      <x:c r="F234" s="10" t="str">
        <x:v>loan_interest_penalty</x:v>
      </x:c>
      <x:c r="G234" s="10" t="str">
        <x:v>贷款利息及罚金</x:v>
      </x:c>
      <x:c r="H234" s="53" t="n">
        <x:v>62596</x:v>
      </x:c>
      <x:c r="I234" s="53" t="n">
        <x:v>-62596</x:v>
      </x:c>
      <x:c r="J234" s="10" t="str">
        <x:v>practicum_reconciled</x:v>
      </x:c>
    </x:row>
    <x:row r="235" ht="15" hidden="0" customHeight="1">
      <x:c r="A235" s="10" t="str">
        <x:v>CF0234</x:v>
      </x:c>
      <x:c r="B235" s="10" t="n">
        <x:v>202506</x:v>
      </x:c>
      <x:c r="C235" s="10" t="n">
        <x:v>45826</x:v>
      </x:c>
      <x:c r="D235" s="10" t="n">
        <x:v>14</x:v>
      </x:c>
      <x:c r="E235" s="10" t="str">
        <x:v>Outflow</x:v>
      </x:c>
      <x:c r="F235" s="10" t="str">
        <x:v>loan_interest_penalty</x:v>
      </x:c>
      <x:c r="G235" s="10" t="str">
        <x:v>贷款利息及罚金</x:v>
      </x:c>
      <x:c r="H235" s="53" t="n">
        <x:v>78439</x:v>
      </x:c>
      <x:c r="I235" s="53" t="n">
        <x:v>-78439</x:v>
      </x:c>
      <x:c r="J235" s="10" t="str">
        <x:v>practicum_reconciled</x:v>
      </x:c>
    </x:row>
    <x:row r="236" ht="15" hidden="0" customHeight="1">
      <x:c r="A236" s="10" t="str">
        <x:v>CF0235</x:v>
      </x:c>
      <x:c r="B236" s="10" t="n">
        <x:v>202504</x:v>
      </x:c>
      <x:c r="C236" s="10" t="n">
        <x:v>45765</x:v>
      </x:c>
      <x:c r="D236" s="10" t="n">
        <x:v>14</x:v>
      </x:c>
      <x:c r="E236" s="10" t="str">
        <x:v>Outflow</x:v>
      </x:c>
      <x:c r="F236" s="10" t="str">
        <x:v>raw_material_purchase</x:v>
      </x:c>
      <x:c r="G236" s="10" t="str">
        <x:v>原材料采购</x:v>
      </x:c>
      <x:c r="H236" s="53" t="n">
        <x:v>527941</x:v>
      </x:c>
      <x:c r="I236" s="53" t="n">
        <x:v>-527941</x:v>
      </x:c>
      <x:c r="J236" s="10" t="str">
        <x:v>practicum_reconciled</x:v>
      </x:c>
    </x:row>
    <x:row r="237" ht="15" hidden="0" customHeight="1">
      <x:c r="A237" s="10" t="str">
        <x:v>CF0236</x:v>
      </x:c>
      <x:c r="B237" s="10" t="n">
        <x:v>202505</x:v>
      </x:c>
      <x:c r="C237" s="10" t="n">
        <x:v>45795</x:v>
      </x:c>
      <x:c r="D237" s="10" t="n">
        <x:v>14</x:v>
      </x:c>
      <x:c r="E237" s="10" t="str">
        <x:v>Outflow</x:v>
      </x:c>
      <x:c r="F237" s="10" t="str">
        <x:v>raw_material_purchase</x:v>
      </x:c>
      <x:c r="G237" s="10" t="str">
        <x:v>原材料采购</x:v>
      </x:c>
      <x:c r="H237" s="53" t="n">
        <x:v>607812</x:v>
      </x:c>
      <x:c r="I237" s="53" t="n">
        <x:v>-607812</x:v>
      </x:c>
      <x:c r="J237" s="10" t="str">
        <x:v>practicum_reconciled</x:v>
      </x:c>
    </x:row>
    <x:row r="238" ht="15" hidden="0" customHeight="1">
      <x:c r="A238" s="10" t="str">
        <x:v>CF0237</x:v>
      </x:c>
      <x:c r="B238" s="10" t="n">
        <x:v>202506</x:v>
      </x:c>
      <x:c r="C238" s="10" t="n">
        <x:v>45826</x:v>
      </x:c>
      <x:c r="D238" s="10" t="n">
        <x:v>14</x:v>
      </x:c>
      <x:c r="E238" s="10" t="str">
        <x:v>Outflow</x:v>
      </x:c>
      <x:c r="F238" s="10" t="str">
        <x:v>raw_material_purchase</x:v>
      </x:c>
      <x:c r="G238" s="10" t="str">
        <x:v>原材料采购</x:v>
      </x:c>
      <x:c r="H238" s="53" t="n">
        <x:v>664247</x:v>
      </x:c>
      <x:c r="I238" s="53" t="n">
        <x:v>-664247</x:v>
      </x:c>
      <x:c r="J238" s="10" t="str">
        <x:v>practicum_reconciled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9.25" hidden="0" customWidth="1"/>
    <x:col min="3" max="3" width="4" hidden="0" customWidth="1"/>
    <x:col min="4" max="4" width="11.5" hidden="0" customWidth="1"/>
    <x:col min="5" max="5" width="9.380000114440918" hidden="0" customWidth="1"/>
    <x:col min="6" max="6" width="9" hidden="0" customWidth="1"/>
    <x:col min="7" max="7" width="12.5" hidden="0" customWidth="1"/>
    <x:col min="8" max="8" width="9.630000114440918" hidden="0" customWidth="1"/>
    <x:col min="9" max="9" width="13.380000114440918" hidden="0" customWidth="1"/>
  </x:cols>
  <x:sheetData>
    <x:row r="1" ht="15" hidden="0" customHeight="1">
      <x:c r="A1" s="7" t="str">
        <x:v>date_key</x:v>
      </x:c>
      <x:c r="B1" s="7" t="str">
        <x:v>month_start</x:v>
      </x:c>
      <x:c r="C1" s="7" t="str">
        <x:v>year</x:v>
      </x:c>
      <x:c r="D1" s="7" t="str">
        <x:v>month_number</x:v>
      </x:c>
      <x:c r="E1" s="7" t="str">
        <x:v>month_label</x:v>
      </x:c>
      <x:c r="F1" s="7" t="str">
        <x:v>quarter_seq</x:v>
      </x:c>
      <x:c r="G1" s="7" t="str">
        <x:v>business_quarter</x:v>
      </x:c>
      <x:c r="H1" s="7" t="str">
        <x:v>year_quarter</x:v>
      </x:c>
      <x:c r="I1" s="7" t="str">
        <x:v>month_in_quarter</x:v>
      </x:c>
    </x:row>
    <x:row r="2" ht="15" hidden="0" customHeight="1">
      <x:c r="A2" s="10" t="n">
        <x:v>202201</x:v>
      </x:c>
      <x:c r="B2" s="10" t="n">
        <x:v>44562</x:v>
      </x:c>
      <x:c r="C2" s="10" t="n">
        <x:v>2022</x:v>
      </x:c>
      <x:c r="D2" s="10" t="n">
        <x:v>1</x:v>
      </x:c>
      <x:c r="E2" s="10" t="str">
        <x:v>2022-01</x:v>
      </x:c>
      <x:c r="F2" s="10" t="n">
        <x:v>1</x:v>
      </x:c>
      <x:c r="G2" s="10" t="str">
        <x:v>Q01</x:v>
      </x:c>
      <x:c r="H2" s="10" t="str">
        <x:v>2022-Q1</x:v>
      </x:c>
      <x:c r="I2" s="10" t="n">
        <x:v>1</x:v>
      </x:c>
    </x:row>
    <x:row r="3" ht="15" hidden="0" customHeight="1">
      <x:c r="A3" s="10" t="n">
        <x:v>202202</x:v>
      </x:c>
      <x:c r="B3" s="10" t="n">
        <x:v>44593</x:v>
      </x:c>
      <x:c r="C3" s="10" t="n">
        <x:v>2022</x:v>
      </x:c>
      <x:c r="D3" s="10" t="n">
        <x:v>2</x:v>
      </x:c>
      <x:c r="E3" s="10" t="str">
        <x:v>2022-02</x:v>
      </x:c>
      <x:c r="F3" s="10" t="n">
        <x:v>1</x:v>
      </x:c>
      <x:c r="G3" s="10" t="str">
        <x:v>Q01</x:v>
      </x:c>
      <x:c r="H3" s="10" t="str">
        <x:v>2022-Q1</x:v>
      </x:c>
      <x:c r="I3" s="10" t="n">
        <x:v>2</x:v>
      </x:c>
    </x:row>
    <x:row r="4" ht="15" hidden="0" customHeight="1">
      <x:c r="A4" s="10" t="n">
        <x:v>202203</x:v>
      </x:c>
      <x:c r="B4" s="10" t="n">
        <x:v>44621</x:v>
      </x:c>
      <x:c r="C4" s="10" t="n">
        <x:v>2022</x:v>
      </x:c>
      <x:c r="D4" s="10" t="n">
        <x:v>3</x:v>
      </x:c>
      <x:c r="E4" s="10" t="str">
        <x:v>2022-03</x:v>
      </x:c>
      <x:c r="F4" s="10" t="n">
        <x:v>1</x:v>
      </x:c>
      <x:c r="G4" s="10" t="str">
        <x:v>Q01</x:v>
      </x:c>
      <x:c r="H4" s="10" t="str">
        <x:v>2022-Q1</x:v>
      </x:c>
      <x:c r="I4" s="10" t="n">
        <x:v>3</x:v>
      </x:c>
    </x:row>
    <x:row r="5" ht="15" hidden="0" customHeight="1">
      <x:c r="A5" s="10" t="n">
        <x:v>202204</x:v>
      </x:c>
      <x:c r="B5" s="10" t="n">
        <x:v>44652</x:v>
      </x:c>
      <x:c r="C5" s="10" t="n">
        <x:v>2022</x:v>
      </x:c>
      <x:c r="D5" s="10" t="n">
        <x:v>4</x:v>
      </x:c>
      <x:c r="E5" s="10" t="str">
        <x:v>2022-04</x:v>
      </x:c>
      <x:c r="F5" s="10" t="n">
        <x:v>2</x:v>
      </x:c>
      <x:c r="G5" s="10" t="str">
        <x:v>Q02</x:v>
      </x:c>
      <x:c r="H5" s="10" t="str">
        <x:v>2022-Q2</x:v>
      </x:c>
      <x:c r="I5" s="10" t="n">
        <x:v>1</x:v>
      </x:c>
    </x:row>
    <x:row r="6" ht="15" hidden="0" customHeight="1">
      <x:c r="A6" s="10" t="n">
        <x:v>202205</x:v>
      </x:c>
      <x:c r="B6" s="10" t="n">
        <x:v>44682</x:v>
      </x:c>
      <x:c r="C6" s="10" t="n">
        <x:v>2022</x:v>
      </x:c>
      <x:c r="D6" s="10" t="n">
        <x:v>5</x:v>
      </x:c>
      <x:c r="E6" s="10" t="str">
        <x:v>2022-05</x:v>
      </x:c>
      <x:c r="F6" s="10" t="n">
        <x:v>2</x:v>
      </x:c>
      <x:c r="G6" s="10" t="str">
        <x:v>Q02</x:v>
      </x:c>
      <x:c r="H6" s="10" t="str">
        <x:v>2022-Q2</x:v>
      </x:c>
      <x:c r="I6" s="10" t="n">
        <x:v>2</x:v>
      </x:c>
    </x:row>
    <x:row r="7" ht="15" hidden="0" customHeight="1">
      <x:c r="A7" s="10" t="n">
        <x:v>202206</x:v>
      </x:c>
      <x:c r="B7" s="10" t="n">
        <x:v>44713</x:v>
      </x:c>
      <x:c r="C7" s="10" t="n">
        <x:v>2022</x:v>
      </x:c>
      <x:c r="D7" s="10" t="n">
        <x:v>6</x:v>
      </x:c>
      <x:c r="E7" s="10" t="str">
        <x:v>2022-06</x:v>
      </x:c>
      <x:c r="F7" s="10" t="n">
        <x:v>2</x:v>
      </x:c>
      <x:c r="G7" s="10" t="str">
        <x:v>Q02</x:v>
      </x:c>
      <x:c r="H7" s="10" t="str">
        <x:v>2022-Q2</x:v>
      </x:c>
      <x:c r="I7" s="10" t="n">
        <x:v>3</x:v>
      </x:c>
    </x:row>
    <x:row r="8" ht="15" hidden="0" customHeight="1">
      <x:c r="A8" s="10" t="n">
        <x:v>202207</x:v>
      </x:c>
      <x:c r="B8" s="10" t="n">
        <x:v>44743</x:v>
      </x:c>
      <x:c r="C8" s="10" t="n">
        <x:v>2022</x:v>
      </x:c>
      <x:c r="D8" s="10" t="n">
        <x:v>7</x:v>
      </x:c>
      <x:c r="E8" s="10" t="str">
        <x:v>2022-07</x:v>
      </x:c>
      <x:c r="F8" s="10" t="n">
        <x:v>3</x:v>
      </x:c>
      <x:c r="G8" s="10" t="str">
        <x:v>Q03</x:v>
      </x:c>
      <x:c r="H8" s="10" t="str">
        <x:v>2022-Q3</x:v>
      </x:c>
      <x:c r="I8" s="10" t="n">
        <x:v>1</x:v>
      </x:c>
    </x:row>
    <x:row r="9" ht="15" hidden="0" customHeight="1">
      <x:c r="A9" s="10" t="n">
        <x:v>202208</x:v>
      </x:c>
      <x:c r="B9" s="10" t="n">
        <x:v>44774</x:v>
      </x:c>
      <x:c r="C9" s="10" t="n">
        <x:v>2022</x:v>
      </x:c>
      <x:c r="D9" s="10" t="n">
        <x:v>8</x:v>
      </x:c>
      <x:c r="E9" s="10" t="str">
        <x:v>2022-08</x:v>
      </x:c>
      <x:c r="F9" s="10" t="n">
        <x:v>3</x:v>
      </x:c>
      <x:c r="G9" s="10" t="str">
        <x:v>Q03</x:v>
      </x:c>
      <x:c r="H9" s="10" t="str">
        <x:v>2022-Q3</x:v>
      </x:c>
      <x:c r="I9" s="10" t="n">
        <x:v>2</x:v>
      </x:c>
    </x:row>
    <x:row r="10" ht="15" hidden="0" customHeight="1">
      <x:c r="A10" s="10" t="n">
        <x:v>202209</x:v>
      </x:c>
      <x:c r="B10" s="10" t="n">
        <x:v>44805</x:v>
      </x:c>
      <x:c r="C10" s="10" t="n">
        <x:v>2022</x:v>
      </x:c>
      <x:c r="D10" s="10" t="n">
        <x:v>9</x:v>
      </x:c>
      <x:c r="E10" s="10" t="str">
        <x:v>2022-09</x:v>
      </x:c>
      <x:c r="F10" s="10" t="n">
        <x:v>3</x:v>
      </x:c>
      <x:c r="G10" s="10" t="str">
        <x:v>Q03</x:v>
      </x:c>
      <x:c r="H10" s="10" t="str">
        <x:v>2022-Q3</x:v>
      </x:c>
      <x:c r="I10" s="10" t="n">
        <x:v>3</x:v>
      </x:c>
    </x:row>
    <x:row r="11" ht="15" hidden="0" customHeight="1">
      <x:c r="A11" s="10" t="n">
        <x:v>202210</x:v>
      </x:c>
      <x:c r="B11" s="10" t="n">
        <x:v>44835</x:v>
      </x:c>
      <x:c r="C11" s="10" t="n">
        <x:v>2022</x:v>
      </x:c>
      <x:c r="D11" s="10" t="n">
        <x:v>10</x:v>
      </x:c>
      <x:c r="E11" s="10" t="str">
        <x:v>2022-10</x:v>
      </x:c>
      <x:c r="F11" s="10" t="n">
        <x:v>4</x:v>
      </x:c>
      <x:c r="G11" s="10" t="str">
        <x:v>Q04</x:v>
      </x:c>
      <x:c r="H11" s="10" t="str">
        <x:v>2022-Q4</x:v>
      </x:c>
      <x:c r="I11" s="10" t="n">
        <x:v>1</x:v>
      </x:c>
    </x:row>
    <x:row r="12" ht="15" hidden="0" customHeight="1">
      <x:c r="A12" s="10" t="n">
        <x:v>202211</x:v>
      </x:c>
      <x:c r="B12" s="10" t="n">
        <x:v>44866</x:v>
      </x:c>
      <x:c r="C12" s="10" t="n">
        <x:v>2022</x:v>
      </x:c>
      <x:c r="D12" s="10" t="n">
        <x:v>11</x:v>
      </x:c>
      <x:c r="E12" s="10" t="str">
        <x:v>2022-11</x:v>
      </x:c>
      <x:c r="F12" s="10" t="n">
        <x:v>4</x:v>
      </x:c>
      <x:c r="G12" s="10" t="str">
        <x:v>Q04</x:v>
      </x:c>
      <x:c r="H12" s="10" t="str">
        <x:v>2022-Q4</x:v>
      </x:c>
      <x:c r="I12" s="10" t="n">
        <x:v>2</x:v>
      </x:c>
    </x:row>
    <x:row r="13" ht="15" hidden="0" customHeight="1">
      <x:c r="A13" s="10" t="n">
        <x:v>202212</x:v>
      </x:c>
      <x:c r="B13" s="10" t="n">
        <x:v>44896</x:v>
      </x:c>
      <x:c r="C13" s="10" t="n">
        <x:v>2022</x:v>
      </x:c>
      <x:c r="D13" s="10" t="n">
        <x:v>12</x:v>
      </x:c>
      <x:c r="E13" s="10" t="str">
        <x:v>2022-12</x:v>
      </x:c>
      <x:c r="F13" s="10" t="n">
        <x:v>4</x:v>
      </x:c>
      <x:c r="G13" s="10" t="str">
        <x:v>Q04</x:v>
      </x:c>
      <x:c r="H13" s="10" t="str">
        <x:v>2022-Q4</x:v>
      </x:c>
      <x:c r="I13" s="10" t="n">
        <x:v>3</x:v>
      </x:c>
    </x:row>
    <x:row r="14" ht="15" hidden="0" customHeight="1">
      <x:c r="A14" s="10" t="n">
        <x:v>202301</x:v>
      </x:c>
      <x:c r="B14" s="10" t="n">
        <x:v>44927</x:v>
      </x:c>
      <x:c r="C14" s="10" t="n">
        <x:v>2023</x:v>
      </x:c>
      <x:c r="D14" s="10" t="n">
        <x:v>1</x:v>
      </x:c>
      <x:c r="E14" s="10" t="str">
        <x:v>2023-01</x:v>
      </x:c>
      <x:c r="F14" s="10" t="n">
        <x:v>5</x:v>
      </x:c>
      <x:c r="G14" s="10" t="str">
        <x:v>Q05</x:v>
      </x:c>
      <x:c r="H14" s="10" t="str">
        <x:v>2023-Q1</x:v>
      </x:c>
      <x:c r="I14" s="10" t="n">
        <x:v>1</x:v>
      </x:c>
    </x:row>
    <x:row r="15" ht="15" hidden="0" customHeight="1">
      <x:c r="A15" s="10" t="n">
        <x:v>202302</x:v>
      </x:c>
      <x:c r="B15" s="10" t="n">
        <x:v>44958</x:v>
      </x:c>
      <x:c r="C15" s="10" t="n">
        <x:v>2023</x:v>
      </x:c>
      <x:c r="D15" s="10" t="n">
        <x:v>2</x:v>
      </x:c>
      <x:c r="E15" s="10" t="str">
        <x:v>2023-02</x:v>
      </x:c>
      <x:c r="F15" s="10" t="n">
        <x:v>5</x:v>
      </x:c>
      <x:c r="G15" s="10" t="str">
        <x:v>Q05</x:v>
      </x:c>
      <x:c r="H15" s="10" t="str">
        <x:v>2023-Q1</x:v>
      </x:c>
      <x:c r="I15" s="10" t="n">
        <x:v>2</x:v>
      </x:c>
    </x:row>
    <x:row r="16" ht="15" hidden="0" customHeight="1">
      <x:c r="A16" s="10" t="n">
        <x:v>202303</x:v>
      </x:c>
      <x:c r="B16" s="10" t="n">
        <x:v>44986</x:v>
      </x:c>
      <x:c r="C16" s="10" t="n">
        <x:v>2023</x:v>
      </x:c>
      <x:c r="D16" s="10" t="n">
        <x:v>3</x:v>
      </x:c>
      <x:c r="E16" s="10" t="str">
        <x:v>2023-03</x:v>
      </x:c>
      <x:c r="F16" s="10" t="n">
        <x:v>5</x:v>
      </x:c>
      <x:c r="G16" s="10" t="str">
        <x:v>Q05</x:v>
      </x:c>
      <x:c r="H16" s="10" t="str">
        <x:v>2023-Q1</x:v>
      </x:c>
      <x:c r="I16" s="10" t="n">
        <x:v>3</x:v>
      </x:c>
    </x:row>
    <x:row r="17" ht="15" hidden="0" customHeight="1">
      <x:c r="A17" s="10" t="n">
        <x:v>202304</x:v>
      </x:c>
      <x:c r="B17" s="10" t="n">
        <x:v>45017</x:v>
      </x:c>
      <x:c r="C17" s="10" t="n">
        <x:v>2023</x:v>
      </x:c>
      <x:c r="D17" s="10" t="n">
        <x:v>4</x:v>
      </x:c>
      <x:c r="E17" s="10" t="str">
        <x:v>2023-04</x:v>
      </x:c>
      <x:c r="F17" s="10" t="n">
        <x:v>6</x:v>
      </x:c>
      <x:c r="G17" s="10" t="str">
        <x:v>Q06</x:v>
      </x:c>
      <x:c r="H17" s="10" t="str">
        <x:v>2023-Q2</x:v>
      </x:c>
      <x:c r="I17" s="10" t="n">
        <x:v>1</x:v>
      </x:c>
    </x:row>
    <x:row r="18" ht="15" hidden="0" customHeight="1">
      <x:c r="A18" s="10" t="n">
        <x:v>202305</x:v>
      </x:c>
      <x:c r="B18" s="10" t="n">
        <x:v>45047</x:v>
      </x:c>
      <x:c r="C18" s="10" t="n">
        <x:v>2023</x:v>
      </x:c>
      <x:c r="D18" s="10" t="n">
        <x:v>5</x:v>
      </x:c>
      <x:c r="E18" s="10" t="str">
        <x:v>2023-05</x:v>
      </x:c>
      <x:c r="F18" s="10" t="n">
        <x:v>6</x:v>
      </x:c>
      <x:c r="G18" s="10" t="str">
        <x:v>Q06</x:v>
      </x:c>
      <x:c r="H18" s="10" t="str">
        <x:v>2023-Q2</x:v>
      </x:c>
      <x:c r="I18" s="10" t="n">
        <x:v>2</x:v>
      </x:c>
    </x:row>
    <x:row r="19" ht="15" hidden="0" customHeight="1">
      <x:c r="A19" s="10" t="n">
        <x:v>202306</x:v>
      </x:c>
      <x:c r="B19" s="10" t="n">
        <x:v>45078</x:v>
      </x:c>
      <x:c r="C19" s="10" t="n">
        <x:v>2023</x:v>
      </x:c>
      <x:c r="D19" s="10" t="n">
        <x:v>6</x:v>
      </x:c>
      <x:c r="E19" s="10" t="str">
        <x:v>2023-06</x:v>
      </x:c>
      <x:c r="F19" s="10" t="n">
        <x:v>6</x:v>
      </x:c>
      <x:c r="G19" s="10" t="str">
        <x:v>Q06</x:v>
      </x:c>
      <x:c r="H19" s="10" t="str">
        <x:v>2023-Q2</x:v>
      </x:c>
      <x:c r="I19" s="10" t="n">
        <x:v>3</x:v>
      </x:c>
    </x:row>
    <x:row r="20" ht="15" hidden="0" customHeight="1">
      <x:c r="A20" s="10" t="n">
        <x:v>202307</x:v>
      </x:c>
      <x:c r="B20" s="10" t="n">
        <x:v>45108</x:v>
      </x:c>
      <x:c r="C20" s="10" t="n">
        <x:v>2023</x:v>
      </x:c>
      <x:c r="D20" s="10" t="n">
        <x:v>7</x:v>
      </x:c>
      <x:c r="E20" s="10" t="str">
        <x:v>2023-07</x:v>
      </x:c>
      <x:c r="F20" s="10" t="n">
        <x:v>7</x:v>
      </x:c>
      <x:c r="G20" s="10" t="str">
        <x:v>Q07</x:v>
      </x:c>
      <x:c r="H20" s="10" t="str">
        <x:v>2023-Q3</x:v>
      </x:c>
      <x:c r="I20" s="10" t="n">
        <x:v>1</x:v>
      </x:c>
    </x:row>
    <x:row r="21" ht="15" hidden="0" customHeight="1">
      <x:c r="A21" s="10" t="n">
        <x:v>202308</x:v>
      </x:c>
      <x:c r="B21" s="10" t="n">
        <x:v>45139</x:v>
      </x:c>
      <x:c r="C21" s="10" t="n">
        <x:v>2023</x:v>
      </x:c>
      <x:c r="D21" s="10" t="n">
        <x:v>8</x:v>
      </x:c>
      <x:c r="E21" s="10" t="str">
        <x:v>2023-08</x:v>
      </x:c>
      <x:c r="F21" s="10" t="n">
        <x:v>7</x:v>
      </x:c>
      <x:c r="G21" s="10" t="str">
        <x:v>Q07</x:v>
      </x:c>
      <x:c r="H21" s="10" t="str">
        <x:v>2023-Q3</x:v>
      </x:c>
      <x:c r="I21" s="10" t="n">
        <x:v>2</x:v>
      </x:c>
    </x:row>
    <x:row r="22" ht="15" hidden="0" customHeight="1">
      <x:c r="A22" s="10" t="n">
        <x:v>202309</x:v>
      </x:c>
      <x:c r="B22" s="10" t="n">
        <x:v>45170</x:v>
      </x:c>
      <x:c r="C22" s="10" t="n">
        <x:v>2023</x:v>
      </x:c>
      <x:c r="D22" s="10" t="n">
        <x:v>9</x:v>
      </x:c>
      <x:c r="E22" s="10" t="str">
        <x:v>2023-09</x:v>
      </x:c>
      <x:c r="F22" s="10" t="n">
        <x:v>7</x:v>
      </x:c>
      <x:c r="G22" s="10" t="str">
        <x:v>Q07</x:v>
      </x:c>
      <x:c r="H22" s="10" t="str">
        <x:v>2023-Q3</x:v>
      </x:c>
      <x:c r="I22" s="10" t="n">
        <x:v>3</x:v>
      </x:c>
    </x:row>
    <x:row r="23" ht="15" hidden="0" customHeight="1">
      <x:c r="A23" s="10" t="n">
        <x:v>202310</x:v>
      </x:c>
      <x:c r="B23" s="10" t="n">
        <x:v>45200</x:v>
      </x:c>
      <x:c r="C23" s="10" t="n">
        <x:v>2023</x:v>
      </x:c>
      <x:c r="D23" s="10" t="n">
        <x:v>10</x:v>
      </x:c>
      <x:c r="E23" s="10" t="str">
        <x:v>2023-10</x:v>
      </x:c>
      <x:c r="F23" s="10" t="n">
        <x:v>8</x:v>
      </x:c>
      <x:c r="G23" s="10" t="str">
        <x:v>Q08</x:v>
      </x:c>
      <x:c r="H23" s="10" t="str">
        <x:v>2023-Q4</x:v>
      </x:c>
      <x:c r="I23" s="10" t="n">
        <x:v>1</x:v>
      </x:c>
    </x:row>
    <x:row r="24" ht="15" hidden="0" customHeight="1">
      <x:c r="A24" s="10" t="n">
        <x:v>202311</x:v>
      </x:c>
      <x:c r="B24" s="10" t="n">
        <x:v>45231</x:v>
      </x:c>
      <x:c r="C24" s="10" t="n">
        <x:v>2023</x:v>
      </x:c>
      <x:c r="D24" s="10" t="n">
        <x:v>11</x:v>
      </x:c>
      <x:c r="E24" s="10" t="str">
        <x:v>2023-11</x:v>
      </x:c>
      <x:c r="F24" s="10" t="n">
        <x:v>8</x:v>
      </x:c>
      <x:c r="G24" s="10" t="str">
        <x:v>Q08</x:v>
      </x:c>
      <x:c r="H24" s="10" t="str">
        <x:v>2023-Q4</x:v>
      </x:c>
      <x:c r="I24" s="10" t="n">
        <x:v>2</x:v>
      </x:c>
    </x:row>
    <x:row r="25" ht="15" hidden="0" customHeight="1">
      <x:c r="A25" s="10" t="n">
        <x:v>202312</x:v>
      </x:c>
      <x:c r="B25" s="10" t="n">
        <x:v>45261</x:v>
      </x:c>
      <x:c r="C25" s="10" t="n">
        <x:v>2023</x:v>
      </x:c>
      <x:c r="D25" s="10" t="n">
        <x:v>12</x:v>
      </x:c>
      <x:c r="E25" s="10" t="str">
        <x:v>2023-12</x:v>
      </x:c>
      <x:c r="F25" s="10" t="n">
        <x:v>8</x:v>
      </x:c>
      <x:c r="G25" s="10" t="str">
        <x:v>Q08</x:v>
      </x:c>
      <x:c r="H25" s="10" t="str">
        <x:v>2023-Q4</x:v>
      </x:c>
      <x:c r="I25" s="10" t="n">
        <x:v>3</x:v>
      </x:c>
    </x:row>
    <x:row r="26" ht="15" hidden="0" customHeight="1">
      <x:c r="A26" s="10" t="n">
        <x:v>202401</x:v>
      </x:c>
      <x:c r="B26" s="10" t="n">
        <x:v>45292</x:v>
      </x:c>
      <x:c r="C26" s="10" t="n">
        <x:v>2024</x:v>
      </x:c>
      <x:c r="D26" s="10" t="n">
        <x:v>1</x:v>
      </x:c>
      <x:c r="E26" s="10" t="str">
        <x:v>2024-01</x:v>
      </x:c>
      <x:c r="F26" s="10" t="n">
        <x:v>9</x:v>
      </x:c>
      <x:c r="G26" s="10" t="str">
        <x:v>Q09</x:v>
      </x:c>
      <x:c r="H26" s="10" t="str">
        <x:v>2024-Q1</x:v>
      </x:c>
      <x:c r="I26" s="10" t="n">
        <x:v>1</x:v>
      </x:c>
    </x:row>
    <x:row r="27" ht="15" hidden="0" customHeight="1">
      <x:c r="A27" s="10" t="n">
        <x:v>202402</x:v>
      </x:c>
      <x:c r="B27" s="10" t="n">
        <x:v>45323</x:v>
      </x:c>
      <x:c r="C27" s="10" t="n">
        <x:v>2024</x:v>
      </x:c>
      <x:c r="D27" s="10" t="n">
        <x:v>2</x:v>
      </x:c>
      <x:c r="E27" s="10" t="str">
        <x:v>2024-02</x:v>
      </x:c>
      <x:c r="F27" s="10" t="n">
        <x:v>9</x:v>
      </x:c>
      <x:c r="G27" s="10" t="str">
        <x:v>Q09</x:v>
      </x:c>
      <x:c r="H27" s="10" t="str">
        <x:v>2024-Q1</x:v>
      </x:c>
      <x:c r="I27" s="10" t="n">
        <x:v>2</x:v>
      </x:c>
    </x:row>
    <x:row r="28" ht="15" hidden="0" customHeight="1">
      <x:c r="A28" s="10" t="n">
        <x:v>202403</x:v>
      </x:c>
      <x:c r="B28" s="10" t="n">
        <x:v>45352</x:v>
      </x:c>
      <x:c r="C28" s="10" t="n">
        <x:v>2024</x:v>
      </x:c>
      <x:c r="D28" s="10" t="n">
        <x:v>3</x:v>
      </x:c>
      <x:c r="E28" s="10" t="str">
        <x:v>2024-03</x:v>
      </x:c>
      <x:c r="F28" s="10" t="n">
        <x:v>9</x:v>
      </x:c>
      <x:c r="G28" s="10" t="str">
        <x:v>Q09</x:v>
      </x:c>
      <x:c r="H28" s="10" t="str">
        <x:v>2024-Q1</x:v>
      </x:c>
      <x:c r="I28" s="10" t="n">
        <x:v>3</x:v>
      </x:c>
    </x:row>
    <x:row r="29" ht="15" hidden="0" customHeight="1">
      <x:c r="A29" s="10" t="n">
        <x:v>202404</x:v>
      </x:c>
      <x:c r="B29" s="10" t="n">
        <x:v>45383</x:v>
      </x:c>
      <x:c r="C29" s="10" t="n">
        <x:v>2024</x:v>
      </x:c>
      <x:c r="D29" s="10" t="n">
        <x:v>4</x:v>
      </x:c>
      <x:c r="E29" s="10" t="str">
        <x:v>2024-04</x:v>
      </x:c>
      <x:c r="F29" s="10" t="n">
        <x:v>10</x:v>
      </x:c>
      <x:c r="G29" s="10" t="str">
        <x:v>Q10</x:v>
      </x:c>
      <x:c r="H29" s="10" t="str">
        <x:v>2024-Q2</x:v>
      </x:c>
      <x:c r="I29" s="10" t="n">
        <x:v>1</x:v>
      </x:c>
    </x:row>
    <x:row r="30" ht="15" hidden="0" customHeight="1">
      <x:c r="A30" s="10" t="n">
        <x:v>202405</x:v>
      </x:c>
      <x:c r="B30" s="10" t="n">
        <x:v>45413</x:v>
      </x:c>
      <x:c r="C30" s="10" t="n">
        <x:v>2024</x:v>
      </x:c>
      <x:c r="D30" s="10" t="n">
        <x:v>5</x:v>
      </x:c>
      <x:c r="E30" s="10" t="str">
        <x:v>2024-05</x:v>
      </x:c>
      <x:c r="F30" s="10" t="n">
        <x:v>10</x:v>
      </x:c>
      <x:c r="G30" s="10" t="str">
        <x:v>Q10</x:v>
      </x:c>
      <x:c r="H30" s="10" t="str">
        <x:v>2024-Q2</x:v>
      </x:c>
      <x:c r="I30" s="10" t="n">
        <x:v>2</x:v>
      </x:c>
    </x:row>
    <x:row r="31" ht="15" hidden="0" customHeight="1">
      <x:c r="A31" s="10" t="n">
        <x:v>202406</x:v>
      </x:c>
      <x:c r="B31" s="10" t="n">
        <x:v>45444</x:v>
      </x:c>
      <x:c r="C31" s="10" t="n">
        <x:v>2024</x:v>
      </x:c>
      <x:c r="D31" s="10" t="n">
        <x:v>6</x:v>
      </x:c>
      <x:c r="E31" s="10" t="str">
        <x:v>2024-06</x:v>
      </x:c>
      <x:c r="F31" s="10" t="n">
        <x:v>10</x:v>
      </x:c>
      <x:c r="G31" s="10" t="str">
        <x:v>Q10</x:v>
      </x:c>
      <x:c r="H31" s="10" t="str">
        <x:v>2024-Q2</x:v>
      </x:c>
      <x:c r="I31" s="10" t="n">
        <x:v>3</x:v>
      </x:c>
    </x:row>
    <x:row r="32" ht="15" hidden="0" customHeight="1">
      <x:c r="A32" s="10" t="n">
        <x:v>202407</x:v>
      </x:c>
      <x:c r="B32" s="10" t="n">
        <x:v>45474</x:v>
      </x:c>
      <x:c r="C32" s="10" t="n">
        <x:v>2024</x:v>
      </x:c>
      <x:c r="D32" s="10" t="n">
        <x:v>7</x:v>
      </x:c>
      <x:c r="E32" s="10" t="str">
        <x:v>2024-07</x:v>
      </x:c>
      <x:c r="F32" s="10" t="n">
        <x:v>11</x:v>
      </x:c>
      <x:c r="G32" s="10" t="str">
        <x:v>Q11</x:v>
      </x:c>
      <x:c r="H32" s="10" t="str">
        <x:v>2024-Q3</x:v>
      </x:c>
      <x:c r="I32" s="10" t="n">
        <x:v>1</x:v>
      </x:c>
    </x:row>
    <x:row r="33" ht="15" hidden="0" customHeight="1">
      <x:c r="A33" s="10" t="n">
        <x:v>202408</x:v>
      </x:c>
      <x:c r="B33" s="10" t="n">
        <x:v>45505</x:v>
      </x:c>
      <x:c r="C33" s="10" t="n">
        <x:v>2024</x:v>
      </x:c>
      <x:c r="D33" s="10" t="n">
        <x:v>8</x:v>
      </x:c>
      <x:c r="E33" s="10" t="str">
        <x:v>2024-08</x:v>
      </x:c>
      <x:c r="F33" s="10" t="n">
        <x:v>11</x:v>
      </x:c>
      <x:c r="G33" s="10" t="str">
        <x:v>Q11</x:v>
      </x:c>
      <x:c r="H33" s="10" t="str">
        <x:v>2024-Q3</x:v>
      </x:c>
      <x:c r="I33" s="10" t="n">
        <x:v>2</x:v>
      </x:c>
    </x:row>
    <x:row r="34" ht="15" hidden="0" customHeight="1">
      <x:c r="A34" s="10" t="n">
        <x:v>202409</x:v>
      </x:c>
      <x:c r="B34" s="10" t="n">
        <x:v>45536</x:v>
      </x:c>
      <x:c r="C34" s="10" t="n">
        <x:v>2024</x:v>
      </x:c>
      <x:c r="D34" s="10" t="n">
        <x:v>9</x:v>
      </x:c>
      <x:c r="E34" s="10" t="str">
        <x:v>2024-09</x:v>
      </x:c>
      <x:c r="F34" s="10" t="n">
        <x:v>11</x:v>
      </x:c>
      <x:c r="G34" s="10" t="str">
        <x:v>Q11</x:v>
      </x:c>
      <x:c r="H34" s="10" t="str">
        <x:v>2024-Q3</x:v>
      </x:c>
      <x:c r="I34" s="10" t="n">
        <x:v>3</x:v>
      </x:c>
    </x:row>
    <x:row r="35" ht="15" hidden="0" customHeight="1">
      <x:c r="A35" s="10" t="n">
        <x:v>202410</x:v>
      </x:c>
      <x:c r="B35" s="10" t="n">
        <x:v>45566</x:v>
      </x:c>
      <x:c r="C35" s="10" t="n">
        <x:v>2024</x:v>
      </x:c>
      <x:c r="D35" s="10" t="n">
        <x:v>10</x:v>
      </x:c>
      <x:c r="E35" s="10" t="str">
        <x:v>2024-10</x:v>
      </x:c>
      <x:c r="F35" s="10" t="n">
        <x:v>12</x:v>
      </x:c>
      <x:c r="G35" s="10" t="str">
        <x:v>Q12</x:v>
      </x:c>
      <x:c r="H35" s="10" t="str">
        <x:v>2024-Q4</x:v>
      </x:c>
      <x:c r="I35" s="10" t="n">
        <x:v>1</x:v>
      </x:c>
    </x:row>
    <x:row r="36" ht="15" hidden="0" customHeight="1">
      <x:c r="A36" s="10" t="n">
        <x:v>202411</x:v>
      </x:c>
      <x:c r="B36" s="10" t="n">
        <x:v>45597</x:v>
      </x:c>
      <x:c r="C36" s="10" t="n">
        <x:v>2024</x:v>
      </x:c>
      <x:c r="D36" s="10" t="n">
        <x:v>11</x:v>
      </x:c>
      <x:c r="E36" s="10" t="str">
        <x:v>2024-11</x:v>
      </x:c>
      <x:c r="F36" s="10" t="n">
        <x:v>12</x:v>
      </x:c>
      <x:c r="G36" s="10" t="str">
        <x:v>Q12</x:v>
      </x:c>
      <x:c r="H36" s="10" t="str">
        <x:v>2024-Q4</x:v>
      </x:c>
      <x:c r="I36" s="10" t="n">
        <x:v>2</x:v>
      </x:c>
    </x:row>
    <x:row r="37" ht="15" hidden="0" customHeight="1">
      <x:c r="A37" s="10" t="n">
        <x:v>202412</x:v>
      </x:c>
      <x:c r="B37" s="10" t="n">
        <x:v>45627</x:v>
      </x:c>
      <x:c r="C37" s="10" t="n">
        <x:v>2024</x:v>
      </x:c>
      <x:c r="D37" s="10" t="n">
        <x:v>12</x:v>
      </x:c>
      <x:c r="E37" s="10" t="str">
        <x:v>2024-12</x:v>
      </x:c>
      <x:c r="F37" s="10" t="n">
        <x:v>12</x:v>
      </x:c>
      <x:c r="G37" s="10" t="str">
        <x:v>Q12</x:v>
      </x:c>
      <x:c r="H37" s="10" t="str">
        <x:v>2024-Q4</x:v>
      </x:c>
      <x:c r="I37" s="10" t="n">
        <x:v>3</x:v>
      </x:c>
    </x:row>
    <x:row r="38" ht="15" hidden="0" customHeight="1">
      <x:c r="A38" s="10" t="n">
        <x:v>202501</x:v>
      </x:c>
      <x:c r="B38" s="10" t="n">
        <x:v>45658</x:v>
      </x:c>
      <x:c r="C38" s="10" t="n">
        <x:v>2025</x:v>
      </x:c>
      <x:c r="D38" s="10" t="n">
        <x:v>1</x:v>
      </x:c>
      <x:c r="E38" s="10" t="str">
        <x:v>2025-01</x:v>
      </x:c>
      <x:c r="F38" s="10" t="n">
        <x:v>13</x:v>
      </x:c>
      <x:c r="G38" s="10" t="str">
        <x:v>Q13</x:v>
      </x:c>
      <x:c r="H38" s="10" t="str">
        <x:v>2025-Q1</x:v>
      </x:c>
      <x:c r="I38" s="10" t="n">
        <x:v>1</x:v>
      </x:c>
    </x:row>
    <x:row r="39" ht="15" hidden="0" customHeight="1">
      <x:c r="A39" s="10" t="n">
        <x:v>202502</x:v>
      </x:c>
      <x:c r="B39" s="10" t="n">
        <x:v>45689</x:v>
      </x:c>
      <x:c r="C39" s="10" t="n">
        <x:v>2025</x:v>
      </x:c>
      <x:c r="D39" s="10" t="n">
        <x:v>2</x:v>
      </x:c>
      <x:c r="E39" s="10" t="str">
        <x:v>2025-02</x:v>
      </x:c>
      <x:c r="F39" s="10" t="n">
        <x:v>13</x:v>
      </x:c>
      <x:c r="G39" s="10" t="str">
        <x:v>Q13</x:v>
      </x:c>
      <x:c r="H39" s="10" t="str">
        <x:v>2025-Q1</x:v>
      </x:c>
      <x:c r="I39" s="10" t="n">
        <x:v>2</x:v>
      </x:c>
    </x:row>
    <x:row r="40" ht="15" hidden="0" customHeight="1">
      <x:c r="A40" s="10" t="n">
        <x:v>202503</x:v>
      </x:c>
      <x:c r="B40" s="10" t="n">
        <x:v>45717</x:v>
      </x:c>
      <x:c r="C40" s="10" t="n">
        <x:v>2025</x:v>
      </x:c>
      <x:c r="D40" s="10" t="n">
        <x:v>3</x:v>
      </x:c>
      <x:c r="E40" s="10" t="str">
        <x:v>2025-03</x:v>
      </x:c>
      <x:c r="F40" s="10" t="n">
        <x:v>13</x:v>
      </x:c>
      <x:c r="G40" s="10" t="str">
        <x:v>Q13</x:v>
      </x:c>
      <x:c r="H40" s="10" t="str">
        <x:v>2025-Q1</x:v>
      </x:c>
      <x:c r="I40" s="10" t="n">
        <x:v>3</x:v>
      </x:c>
    </x:row>
    <x:row r="41" ht="15" hidden="0" customHeight="1">
      <x:c r="A41" s="10" t="n">
        <x:v>202504</x:v>
      </x:c>
      <x:c r="B41" s="10" t="n">
        <x:v>45748</x:v>
      </x:c>
      <x:c r="C41" s="10" t="n">
        <x:v>2025</x:v>
      </x:c>
      <x:c r="D41" s="10" t="n">
        <x:v>4</x:v>
      </x:c>
      <x:c r="E41" s="10" t="str">
        <x:v>2025-04</x:v>
      </x:c>
      <x:c r="F41" s="10" t="n">
        <x:v>14</x:v>
      </x:c>
      <x:c r="G41" s="10" t="str">
        <x:v>Q14</x:v>
      </x:c>
      <x:c r="H41" s="10" t="str">
        <x:v>2025-Q2</x:v>
      </x:c>
      <x:c r="I41" s="10" t="n">
        <x:v>1</x:v>
      </x:c>
    </x:row>
    <x:row r="42" ht="15" hidden="0" customHeight="1">
      <x:c r="A42" s="10" t="n">
        <x:v>202505</x:v>
      </x:c>
      <x:c r="B42" s="10" t="n">
        <x:v>45778</x:v>
      </x:c>
      <x:c r="C42" s="10" t="n">
        <x:v>2025</x:v>
      </x:c>
      <x:c r="D42" s="10" t="n">
        <x:v>5</x:v>
      </x:c>
      <x:c r="E42" s="10" t="str">
        <x:v>2025-05</x:v>
      </x:c>
      <x:c r="F42" s="10" t="n">
        <x:v>14</x:v>
      </x:c>
      <x:c r="G42" s="10" t="str">
        <x:v>Q14</x:v>
      </x:c>
      <x:c r="H42" s="10" t="str">
        <x:v>2025-Q2</x:v>
      </x:c>
      <x:c r="I42" s="10" t="n">
        <x:v>2</x:v>
      </x:c>
    </x:row>
    <x:row r="43" ht="15" hidden="0" customHeight="1">
      <x:c r="A43" s="10" t="n">
        <x:v>202506</x:v>
      </x:c>
      <x:c r="B43" s="10" t="n">
        <x:v>45809</x:v>
      </x:c>
      <x:c r="C43" s="10" t="n">
        <x:v>2025</x:v>
      </x:c>
      <x:c r="D43" s="10" t="n">
        <x:v>6</x:v>
      </x:c>
      <x:c r="E43" s="10" t="str">
        <x:v>2025-06</x:v>
      </x:c>
      <x:c r="F43" s="10" t="n">
        <x:v>14</x:v>
      </x:c>
      <x:c r="G43" s="10" t="str">
        <x:v>Q14</x:v>
      </x:c>
      <x:c r="H43" s="10" t="str">
        <x:v>2025-Q2</x:v>
      </x:c>
      <x:c r="I43" s="10" t="n">
        <x:v>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2.880000114440918" hidden="0" customWidth="1"/>
    <x:col min="3" max="3" width="10.75" hidden="0" customWidth="1"/>
    <x:col min="4" max="4" width="11.130000114440918" hidden="0" customWidth="1"/>
    <x:col min="5" max="5" width="8.880000114440918" hidden="0" customWidth="1"/>
    <x:col min="6" max="6" width="6.880000114440918" hidden="0" customWidth="1"/>
    <x:col min="7" max="7" width="13.880000114440918" hidden="0" customWidth="1"/>
    <x:col min="8" max="8" width="13.75" hidden="0" customWidth="1"/>
  </x:cols>
  <x:sheetData>
    <x:row r="1" ht="15" hidden="0" customHeight="1">
      <x:c r="A1" s="7" t="str">
        <x:v>product_key</x:v>
      </x:c>
      <x:c r="B1" s="7" t="str">
        <x:v>sku</x:v>
      </x:c>
      <x:c r="C1" s="7" t="str">
        <x:v>product_name</x:v>
      </x:c>
      <x:c r="D1" s="7" t="str">
        <x:v>product_family</x:v>
      </x:c>
      <x:c r="E1" s="7" t="str">
        <x:v>positioning</x:v>
      </x:c>
      <x:c r="F1" s="7" t="str">
        <x:v>list_price</x:v>
      </x:c>
      <x:c r="G1" s="7" t="str">
        <x:v>standard_unit_cost</x:v>
      </x:c>
      <x:c r="H1" s="7" t="str">
        <x:v>launch_month_key</x:v>
      </x:c>
    </x:row>
    <x:row r="2" ht="15" hidden="0" customHeight="1">
      <x:c r="A2" s="10" t="n">
        <x:v>101</x:v>
      </x:c>
      <x:c r="B2" s="10" t="str">
        <x:v>L1</x:v>
      </x:c>
      <x:c r="C2" s="10" t="str">
        <x:v>N-Lite</x:v>
      </x:c>
      <x:c r="D2" s="10" t="str">
        <x:v>L</x:v>
      </x:c>
      <x:c r="E2" s="10" t="str">
        <x:v>大众基础款</x:v>
      </x:c>
      <x:c r="F2" s="10" t="n">
        <x:v>2699</x:v>
      </x:c>
      <x:c r="G2" s="10" t="n">
        <x:v>1820</x:v>
      </x:c>
      <x:c r="H2" s="10" t="n">
        <x:v>202204</x:v>
      </x:c>
    </x:row>
    <x:row r="3" ht="15" hidden="0" customHeight="1">
      <x:c r="A3" s="10" t="n">
        <x:v>102</x:v>
      </x:c>
      <x:c r="B3" s="10" t="str">
        <x:v>L2</x:v>
      </x:c>
      <x:c r="C3" s="10" t="str">
        <x:v>N-Plus</x:v>
      </x:c>
      <x:c r="D3" s="10" t="str">
        <x:v>L</x:v>
      </x:c>
      <x:c r="E3" s="10" t="str">
        <x:v>大众升级款</x:v>
      </x:c>
      <x:c r="F3" s="10" t="n">
        <x:v>3299</x:v>
      </x:c>
      <x:c r="G3" s="10" t="n">
        <x:v>2230</x:v>
      </x:c>
      <x:c r="H3" s="10" t="n">
        <x:v>202204</x:v>
      </x:c>
    </x:row>
    <x:row r="4" ht="15" hidden="0" customHeight="1">
      <x:c r="A4" s="10" t="n">
        <x:v>201</x:v>
      </x:c>
      <x:c r="B4" s="10" t="str">
        <x:v>H1</x:v>
      </x:c>
      <x:c r="C4" s="10" t="str">
        <x:v>N-Pro</x:v>
      </x:c>
      <x:c r="D4" s="10" t="str">
        <x:v>H</x:v>
      </x:c>
      <x:c r="E4" s="10" t="str">
        <x:v>高端旗舰款</x:v>
      </x:c>
      <x:c r="F4" s="10" t="n">
        <x:v>4599</x:v>
      </x:c>
      <x:c r="G4" s="10" t="n">
        <x:v>3150</x:v>
      </x:c>
      <x:c r="H4" s="10" t="n">
        <x:v>202312</x:v>
      </x:c>
    </x:row>
    <x:row r="5" ht="15" hidden="0" customHeight="1">
      <x:c r="A5" s="10" t="n">
        <x:v>202</x:v>
      </x:c>
      <x:c r="B5" s="10" t="str">
        <x:v>H2</x:v>
      </x:c>
      <x:c r="C5" s="10" t="str">
        <x:v>N-Ultra</x:v>
      </x:c>
      <x:c r="D5" s="10" t="str">
        <x:v>H</x:v>
      </x:c>
      <x:c r="E5" s="10" t="str">
        <x:v>高端影像款</x:v>
      </x:c>
      <x:c r="F5" s="10" t="n">
        <x:v>5499</x:v>
      </x:c>
      <x:c r="G5" s="10" t="n">
        <x:v>3820</x:v>
      </x:c>
      <x:c r="H5" s="10" t="n">
        <x:v>202312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0.75" hidden="0" customWidth="1"/>
    <x:col min="3" max="3" width="10" hidden="0" customWidth="1"/>
    <x:col min="4" max="4" width="8.880000114440918" hidden="0" customWidth="1"/>
  </x:cols>
  <x:sheetData>
    <x:row r="1" ht="15" hidden="0" customHeight="1">
      <x:c r="A1" s="7" t="str">
        <x:v>channel_key</x:v>
      </x:c>
      <x:c r="B1" s="7" t="str">
        <x:v>channel_name</x:v>
      </x:c>
      <x:c r="C1" s="7" t="str">
        <x:v>channel_type</x:v>
      </x:c>
      <x:c r="D1" s="7" t="str">
        <x:v>price_factor</x:v>
      </x:c>
    </x:row>
    <x:row r="2" ht="15" hidden="0" customHeight="1">
      <x:c r="A2" s="10" t="n">
        <x:v>1</x:v>
      </x:c>
      <x:c r="B2" s="10" t="str">
        <x:v>线上直营</x:v>
      </x:c>
      <x:c r="C2" s="10" t="str">
        <x:v>Direct</x:v>
      </x:c>
      <x:c r="D2" s="10" t="n">
        <x:v>1</x:v>
      </x:c>
    </x:row>
    <x:row r="3" ht="15" hidden="0" customHeight="1">
      <x:c r="A3" s="10" t="n">
        <x:v>2</x:v>
      </x:c>
      <x:c r="B3" s="10" t="str">
        <x:v>线下零售</x:v>
      </x:c>
      <x:c r="C3" s="10" t="str">
        <x:v>Retail</x:v>
      </x:c>
      <x:c r="D3" s="10" t="n">
        <x:v>0.97</x:v>
      </x:c>
    </x:row>
    <x:row r="4" ht="15" hidden="0" customHeight="1">
      <x:c r="A4" s="10" t="n">
        <x:v>3</x:v>
      </x:c>
      <x:c r="B4" s="10" t="str">
        <x:v>区域经销</x:v>
      </x:c>
      <x:c r="C4" s="10" t="str">
        <x:v>Distributor</x:v>
      </x:c>
      <x:c r="D4" s="10" t="n">
        <x:v>0.91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9.75" hidden="0" customWidth="1"/>
    <x:col min="3" max="3" width="8.25" hidden="0" customWidth="1"/>
  </x:cols>
  <x:sheetData>
    <x:row r="1" ht="15" hidden="0" customHeight="1">
      <x:c r="A1" s="7" t="str">
        <x:v>region_key</x:v>
      </x:c>
      <x:c r="B1" s="7" t="str">
        <x:v>region_name</x:v>
      </x:c>
      <x:c r="C1" s="7" t="str">
        <x:v>region_tier</x:v>
      </x:c>
    </x:row>
    <x:row r="2" ht="15" hidden="0" customHeight="1">
      <x:c r="A2" s="10" t="n">
        <x:v>1</x:v>
      </x:c>
      <x:c r="B2" s="10" t="str">
        <x:v>华东</x:v>
      </x:c>
      <x:c r="C2" s="10" t="str">
        <x:v>核心市场</x:v>
      </x:c>
    </x:row>
    <x:row r="3" ht="15" hidden="0" customHeight="1">
      <x:c r="A3" s="10" t="n">
        <x:v>2</x:v>
      </x:c>
      <x:c r="B3" s="10" t="str">
        <x:v>华南</x:v>
      </x:c>
      <x:c r="C3" s="10" t="str">
        <x:v>核心市场</x:v>
      </x:c>
    </x:row>
    <x:row r="4" ht="15" hidden="0" customHeight="1">
      <x:c r="A4" s="10" t="n">
        <x:v>3</x:v>
      </x:c>
      <x:c r="B4" s="10" t="str">
        <x:v>华北</x:v>
      </x:c>
      <x:c r="C4" s="10" t="str">
        <x:v>成长市场</x:v>
      </x:c>
    </x:row>
    <x:row r="5" ht="15" hidden="0" customHeight="1">
      <x:c r="A5" s="10" t="n">
        <x:v>4</x:v>
      </x:c>
      <x:c r="B5" s="10" t="str">
        <x:v>中西部</x:v>
      </x:c>
      <x:c r="C5" s="10" t="str">
        <x:v>成长市场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3799991607666" hidden="0" customWidth="1"/>
    <x:col min="2" max="2" width="4.75" hidden="0" customWidth="1"/>
    <x:col min="3" max="3" width="7.380000114440918" hidden="0" customWidth="1"/>
    <x:col min="4" max="4" width="7.380000114440918" hidden="0" customWidth="1"/>
  </x:cols>
  <x:sheetData>
    <x:row r="1" ht="15" hidden="0" customHeight="1">
      <x:c r="A1" s="7" t="str">
        <x:v>check</x:v>
      </x:c>
      <x:c r="B1" s="7" t="str">
        <x:v>status</x:v>
      </x:c>
      <x:c r="C1" s="7" t="str">
        <x:v>actual</x:v>
      </x:c>
      <x:c r="D1" s="7" t="str">
        <x:v>expected</x:v>
      </x:c>
    </x:row>
    <x:row r="2" ht="15" hidden="0" customHeight="1">
      <x:c r="A2" s="10" t="str">
        <x:v>date_rows</x:v>
      </x:c>
      <x:c r="B2" s="10" t="str">
        <x:v>PASS</x:v>
      </x:c>
      <x:c r="C2" s="10" t="n">
        <x:v>42</x:v>
      </x:c>
      <x:c r="D2" s="10" t="n">
        <x:v>42</x:v>
      </x:c>
    </x:row>
    <x:row r="3" ht="15" hidden="0" customHeight="1">
      <x:c r="A3" s="10" t="str">
        <x:v>date_key_unique</x:v>
      </x:c>
      <x:c r="B3" s="10" t="str">
        <x:v>PASS</x:v>
      </x:c>
      <x:c r="C3" s="10" t="n">
        <x:v>42</x:v>
      </x:c>
      <x:c r="D3" s="10" t="n">
        <x:v>42</x:v>
      </x:c>
    </x:row>
    <x:row r="4" ht="15" hidden="0" customHeight="1">
      <x:c r="A4" s="10" t="str">
        <x:v>order_id_unique</x:v>
      </x:c>
      <x:c r="B4" s="10" t="str">
        <x:v>PASS</x:v>
      </x:c>
      <x:c r="C4" s="10" t="n">
        <x:v>327</x:v>
      </x:c>
      <x:c r="D4" s="10" t="n">
        <x:v>327</x:v>
      </x:c>
    </x:row>
    <x:row r="5" ht="15" hidden="0" customHeight="1">
      <x:c r="A5" s="10" t="str">
        <x:v>positive_order_values</x:v>
      </x:c>
      <x:c r="B5" s="10" t="str">
        <x:v>PASS</x:v>
      </x:c>
      <x:c r="C5" s="10" t="str">
        <x:v>all valid</x:v>
      </x:c>
      <x:c r="D5" s="10" t="str">
        <x:v>all valid</x:v>
      </x:c>
    </x:row>
    <x:row r="6" ht="15" hidden="0" customHeight="1">
      <x:c r="A6" s="10" t="str">
        <x:v>shipment_not_above_order</x:v>
      </x:c>
      <x:c r="B6" s="10" t="str">
        <x:v>PASS</x:v>
      </x:c>
      <x:c r="C6" s="10" t="str">
        <x:v>all valid</x:v>
      </x:c>
      <x:c r="D6" s="10" t="str">
        <x:v>all valid</x:v>
      </x:c>
    </x:row>
    <x:row r="7" ht="15" hidden="0" customHeight="1">
      <x:c r="A7" s="10" t="str">
        <x:v>sales_total</x:v>
      </x:c>
      <x:c r="B7" s="10" t="str">
        <x:v>PASS</x:v>
      </x:c>
      <x:c r="C7" s="10" t="n">
        <x:v>32870200</x:v>
      </x:c>
      <x:c r="D7" s="10" t="n">
        <x:v>32870200</x:v>
      </x:c>
    </x:row>
    <x:row r="8" ht="15" hidden="0" customHeight="1">
      <x:c r="A8" s="10" t="str">
        <x:v>L_family_total</x:v>
      </x:c>
      <x:c r="B8" s="10" t="str">
        <x:v>PASS</x:v>
      </x:c>
      <x:c r="C8" s="10" t="n">
        <x:v>26948200</x:v>
      </x:c>
      <x:c r="D8" s="10" t="n">
        <x:v>26948200</x:v>
      </x:c>
    </x:row>
    <x:row r="9" ht="15" hidden="0" customHeight="1">
      <x:c r="A9" s="10" t="str">
        <x:v>H_family_total</x:v>
      </x:c>
      <x:c r="B9" s="10" t="str">
        <x:v>PASS</x:v>
      </x:c>
      <x:c r="C9" s="10" t="n">
        <x:v>5922000</x:v>
      </x:c>
      <x:c r="D9" s="10" t="n">
        <x:v>5922000</x:v>
      </x:c>
    </x:row>
    <x:row r="10" ht="15" hidden="0" customHeight="1">
      <x:c r="A10" s="10" t="str">
        <x:v>cash_inflow_total</x:v>
      </x:c>
      <x:c r="B10" s="10" t="str">
        <x:v>PASS</x:v>
      </x:c>
      <x:c r="C10" s="10" t="n">
        <x:v>50130681</x:v>
      </x:c>
      <x:c r="D10" s="10" t="n">
        <x:v>50130681</x:v>
      </x:c>
    </x:row>
    <x:row r="11" ht="15" hidden="0" customHeight="1">
      <x:c r="A11" s="10" t="str">
        <x:v>cash_outflow_total</x:v>
      </x:c>
      <x:c r="B11" s="10" t="str">
        <x:v>PASS</x:v>
      </x:c>
      <x:c r="C11" s="10" t="n">
        <x:v>49777407</x:v>
      </x:c>
      <x:c r="D11" s="10" t="n">
        <x:v>49777407</x:v>
      </x:c>
    </x:row>
    <x:row r="12" ht="15" hidden="0" customHeight="1">
      <x:c r="A12" s="10" t="str">
        <x:v>ending_cash</x:v>
      </x:c>
      <x:c r="B12" s="10" t="str">
        <x:v>PASS</x:v>
      </x:c>
      <x:c r="C12" s="10" t="n">
        <x:v>353274</x:v>
      </x:c>
      <x:c r="D12" s="10" t="n">
        <x:v>353274</x:v>
      </x:c>
    </x:row>
    <x:row r="13" ht="15" hidden="0" customHeight="1">
      <x:c r="A13" s="10" t="str">
        <x:v>quarter_cash_reconciliation</x:v>
      </x:c>
      <x:c r="B13" s="10" t="str">
        <x:v>PASS</x:v>
      </x:c>
      <x:c r="C13" s="10" t="str">
        <x:v>14/14</x:v>
      </x:c>
      <x:c r="D13" s="10" t="str">
        <x:v>14/14</x:v>
      </x:c>
    </x:row>
    <x:row r="14" ht="15" hidden="0" customHeight="1">
      <x:c r="A14" s="10" t="str">
        <x:v>production_inventory_balance</x:v>
      </x:c>
      <x:c r="B14" s="10" t="str">
        <x:v>PASS</x:v>
      </x:c>
      <x:c r="C14" s="10" t="str">
        <x:v>all valid</x:v>
      </x:c>
      <x:c r="D14" s="10" t="str">
        <x:v>all valid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</x:cols>
  <x:sheetData>
    <x:row r="1" ht="32" customHeight="1">
      <x:c r="A1" s="13" t="str">
        <x:v>质量检查</x:v>
      </x:c>
      <x:c r="B1" s="13"/>
      <x:c r="C1" s="13"/>
      <x:c r="D1" s="13"/>
      <x:c r="E1" s="13"/>
    </x:row>
    <x:row r="2" ht="25" customHeight="1">
      <x:c r="A2" s="18" t="str">
        <x:v>关键总额、唯一性、映射与现金勾稽均在工作簿内复算；状态必须全部为PASS。</x:v>
      </x:c>
      <x:c r="B2" s="18"/>
      <x:c r="C2" s="18"/>
      <x:c r="D2" s="18"/>
      <x:c r="E2" s="18"/>
    </x:row>
    <x:row r="4" ht="24" customHeight="1">
      <x:c r="A4" s="6" t="str">
        <x:v>Check</x:v>
      </x:c>
      <x:c r="B4" s="6" t="str">
        <x:v>Actual</x:v>
      </x:c>
      <x:c r="C4" s="6" t="str">
        <x:v>Expected</x:v>
      </x:c>
      <x:c r="D4" s="6" t="str">
        <x:v>Status</x:v>
      </x:c>
      <x:c r="E4" s="6" t="str">
        <x:v>Purpose</x:v>
      </x:c>
    </x:row>
    <x:row r="5">
      <x:c r="A5" s="10" t="str">
        <x:v>Sales total</x:v>
      </x:c>
      <x:c r="B5" s="53" t="n">
        <x:f>SUM('订单明细'!$N$2:$N$328)</x:f>
        <x:v>32870200</x:v>
      </x:c>
      <x:c r="C5" s="53" t="n">
        <x:v>32870200</x:v>
      </x:c>
      <x:c r="D5" s="10" t="str">
        <x:f>IF(ABS(B5-C5)&lt;0.01,"PASS","FAIL")</x:f>
        <x:v>PASS</x:v>
      </x:c>
      <x:c r="E5" s="10" t="str">
        <x:v>销售回款总额</x:v>
      </x:c>
    </x:row>
    <x:row r="6">
      <x:c r="A6" s="10" t="str">
        <x:v>L family total</x:v>
      </x:c>
      <x:c r="B6" s="53" t="n">
        <x:f>SUMIFS('订单明细'!$N$2:$N$328,'订单明细'!$W$2:$W$328,"L")</x:f>
        <x:v>26948200</x:v>
      </x:c>
      <x:c r="C6" s="53" t="n">
        <x:v>26948200</x:v>
      </x:c>
      <x:c r="D6" s="10" t="str">
        <x:f>IF(ABS(B6-C6)&lt;0.01,"PASS","FAIL")</x:f>
        <x:v>PASS</x:v>
      </x:c>
      <x:c r="E6" s="10" t="str">
        <x:v>L产品控制额</x:v>
      </x:c>
    </x:row>
    <x:row r="7">
      <x:c r="A7" s="10" t="str">
        <x:v>H family total</x:v>
      </x:c>
      <x:c r="B7" s="53" t="n">
        <x:f>SUMIFS('订单明细'!$N$2:$N$328,'订单明细'!$W$2:$W$328,"H")</x:f>
        <x:v>5922000</x:v>
      </x:c>
      <x:c r="C7" s="53" t="n">
        <x:v>5922000</x:v>
      </x:c>
      <x:c r="D7" s="10" t="str">
        <x:f>IF(ABS(B7-C7)&lt;0.01,"PASS","FAIL")</x:f>
        <x:v>PASS</x:v>
      </x:c>
      <x:c r="E7" s="10" t="str">
        <x:v>H产品控制额</x:v>
      </x:c>
    </x:row>
    <x:row r="8">
      <x:c r="A8" s="10" t="str">
        <x:v>Cash inflow</x:v>
      </x:c>
      <x:c r="B8" s="53" t="n">
        <x:f>SUMIFS('现金明细'!$H$2:$H$238,'现金明细'!$E$2:$E$238,"Inflow")</x:f>
        <x:v>50130681</x:v>
      </x:c>
      <x:c r="C8" s="53" t="n">
        <x:v>50130681</x:v>
      </x:c>
      <x:c r="D8" s="10" t="str">
        <x:f>IF(ABS(B8-C8)&lt;0.01,"PASS","FAIL")</x:f>
        <x:v>PASS</x:v>
      </x:c>
      <x:c r="E8" s="10" t="str">
        <x:v>累计现金流入</x:v>
      </x:c>
    </x:row>
    <x:row r="9">
      <x:c r="A9" s="10" t="str">
        <x:v>Cash outflow</x:v>
      </x:c>
      <x:c r="B9" s="53" t="n">
        <x:f>SUMIFS('现金明细'!$H$2:$H$238,'现金明细'!$E$2:$E$238,"Outflow")</x:f>
        <x:v>49777407</x:v>
      </x:c>
      <x:c r="C9" s="53" t="n">
        <x:v>49777407</x:v>
      </x:c>
      <x:c r="D9" s="10" t="str">
        <x:f>IF(ABS(B9-C9)&lt;0.01,"PASS","FAIL")</x:f>
        <x:v>PASS</x:v>
      </x:c>
      <x:c r="E9" s="10" t="str">
        <x:v>累计现金流出</x:v>
      </x:c>
    </x:row>
    <x:row r="10">
      <x:c r="A10" s="10" t="str">
        <x:v>Ending cash</x:v>
      </x:c>
      <x:c r="B10" s="53" t="n">
        <x:f>SUM('现金明细'!$I$2:$I$238)</x:f>
        <x:v>353274</x:v>
      </x:c>
      <x:c r="C10" s="53" t="n">
        <x:v>353274</x:v>
      </x:c>
      <x:c r="D10" s="10" t="str">
        <x:f>IF(ABS(B10-C10)&lt;0.01,"PASS","FAIL")</x:f>
        <x:v>PASS</x:v>
      </x:c>
      <x:c r="E10" s="10" t="str">
        <x:v>期末现金</x:v>
      </x:c>
    </x:row>
    <x:row r="11">
      <x:c r="A11" s="10" t="str">
        <x:v>Order ID uniqueness</x:v>
      </x:c>
      <x:c r="B11" s="10" t="n">
        <x:f>COUNTA('订单明细'!$A$2:$A$328)</x:f>
        <x:v>327</x:v>
      </x:c>
      <x:c r="C11" s="10" t="n">
        <x:v>327</x:v>
      </x:c>
      <x:c r="D11" s="10" t="str">
        <x:f>IF(B11=C11,"PASS","FAIL")</x:f>
        <x:v>PASS</x:v>
      </x:c>
      <x:c r="E11" s="10" t="str">
        <x:v>订单主键唯一</x:v>
      </x:c>
    </x:row>
    <x:row r="12">
      <x:c r="A12" s="10" t="str">
        <x:v>Product mapping</x:v>
      </x:c>
      <x:c r="B12" s="10" t="n">
        <x:f>COUNTIFS('订单明细'!$W$2:$W$328,"未映射")</x:f>
        <x:v>0</x:v>
      </x:c>
      <x:c r="C12" s="10" t="n">
        <x:v>0</x:v>
      </x:c>
      <x:c r="D12" s="10" t="str">
        <x:f>IF(B12=C12,"PASS","FAIL")</x:f>
        <x:v>PASS</x:v>
      </x:c>
      <x:c r="E12" s="10" t="str">
        <x:v>维表关联完整</x:v>
      </x:c>
    </x:row>
    <x:row r="13">
      <x:c r="A13" s="10" t="str">
        <x:v>Inventory balance</x:v>
      </x:c>
      <x:c r="B13" s="10" t="n">
        <x:f>COUNTIFS('库存明细'!$O$2:$O$169,"&lt;&gt;0")</x:f>
        <x:v>0</x:v>
      </x:c>
      <x:c r="C13" s="10" t="n">
        <x:v>0</x:v>
      </x:c>
      <x:c r="D13" s="10" t="str">
        <x:f>IF(B13=C13,"PASS","FAIL")</x:f>
        <x:v>PASS</x:v>
      </x:c>
      <x:c r="E13" s="10" t="str">
        <x:v>期初+入库-发货=期末</x:v>
      </x:c>
    </x:row>
    <x:row r="14">
      <x:c r="A14" s="10" t="str">
        <x:v>Quarter cash checks</x:v>
      </x:c>
      <x:c r="B14" s="10" t="n">
        <x:f>COUNTIFS('现金流'!$F$5:$F$18,"&lt;&gt;Stable")</x:f>
        <x:v>8</x:v>
      </x:c>
      <x:c r="C14" s="10" t="n">
        <x:v>8</x:v>
      </x:c>
      <x:c r="D14" s="10" t="str">
        <x:f>IF(COUNTA('现金流'!$E$5:$E$18)=14,"PASS","FAIL")</x:f>
        <x:v>PASS</x:v>
      </x:c>
      <x:c r="E14" s="10" t="str">
        <x:v>14个季度均有现金余额</x:v>
      </x:c>
    </x:row>
  </x:sheetData>
  <x:mergeCells>
    <x:mergeCell ref="A1:E1"/>
    <x:mergeCell ref="A2:E2"/>
  </x:mergeCells>
  <x:conditionalFormatting sqref="D5:D14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